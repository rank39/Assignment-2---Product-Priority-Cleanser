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 Me" sheetId="1" r:id="rId5"/>
    <sheet state="visible" name="Apache Raw" sheetId="2" r:id="rId6"/>
    <sheet state="visible" name="Odyssey Raw" sheetId="3" r:id="rId7"/>
    <sheet state="visible" name="Weather Raw" sheetId="4" r:id="rId8"/>
    <sheet state="hidden" name="Assumptions &amp; Model" sheetId="5" r:id="rId9"/>
    <sheet state="hidden" name="Daily Analysis" sheetId="6" r:id="rId10"/>
    <sheet state="hidden" name="Operator Analysis" sheetId="7" r:id="rId11"/>
    <sheet state="hidden" name="Chart Data" sheetId="8" r:id="rId12"/>
    <sheet state="visible" name="Executive Dashboard" sheetId="9" r:id="rId13"/>
    <sheet state="visible" name="Weather Dashboard" sheetId="10" r:id="rId14"/>
  </sheets>
  <definedNames/>
  <calcPr/>
</workbook>
</file>

<file path=xl/sharedStrings.xml><?xml version="1.0" encoding="utf-8"?>
<sst xmlns="http://schemas.openxmlformats.org/spreadsheetml/2006/main" count="353" uniqueCount="180">
  <si>
    <t>BRUIN / TestPAC Yield Investigation Workbook</t>
  </si>
  <si>
    <t>Purpose</t>
  </si>
  <si>
    <t>Investigate Apache and Odyssey yield discrepancies at TestPAC and provide management dashboards.</t>
  </si>
  <si>
    <t>Source 1</t>
  </si>
  <si>
    <t>Apache File.xlsx — 24 operators × 32 days of lot yields.</t>
  </si>
  <si>
    <t>Source 2</t>
  </si>
  <si>
    <t>Odyssey File.xlsx — 24 operators × 32 days of lot yields.</t>
  </si>
  <si>
    <t>Source 3</t>
  </si>
  <si>
    <t>Solar Intensity and Humidity - UCLA.xlsx — daily solar intensity and humidity.</t>
  </si>
  <si>
    <t>Case facts</t>
  </si>
  <si>
    <t>Each lot contains 10,000 units; Apache ASP = $175; Odyssey ASP = $145; claimed TestPAC energy savings = $1.25M over 32 days.</t>
  </si>
  <si>
    <t>Operator test</t>
  </si>
  <si>
    <t>Operator abnormality is flagged when the operator's average yield is at least 3 standard deviations below the operator-average distribution.</t>
  </si>
  <si>
    <t>Environment model</t>
  </si>
  <si>
    <t>Multiple linear model: daily average yield = intercept + solar coefficient × solar intensity + humidity coefficient × humidity.</t>
  </si>
  <si>
    <t>Financial scenario</t>
  </si>
  <si>
    <t>Ideal-facility scenario uses Solar Intensity = 99 and Humidity = 0. Apache environmental model excludes Barbara to avoid mixing the operator anomaly with facility effects.</t>
  </si>
  <si>
    <t>Important: the ideal-facility financial comparison is a modeled scenario because the case does not provide observed yields from a separate perfectly controlled facility. The operator financial estimate uses the operator's shortfall versus the average of the other 23 operators.</t>
  </si>
  <si>
    <t>How to read R²</t>
  </si>
  <si>
    <t>R² is NOT yield. It measures how closely day-to-day yield variation is associated with solar intensity and humidity in the model.</t>
  </si>
  <si>
    <t>Example</t>
  </si>
  <si>
    <t>Apache R² = 99.5% means the model explains about 99.5% of Apache's day-to-day yield variation; it does not mean Apache yields 99.5% or is unaffected by weather.</t>
  </si>
  <si>
    <t>Metric</t>
  </si>
  <si>
    <t>Operator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</si>
  <si>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</si>
  <si>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</si>
  <si>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</si>
  <si>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</si>
  <si>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</si>
  <si>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</si>
  <si>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</si>
  <si>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</si>
  <si>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</si>
  <si>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</si>
  <si>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</si>
  <si>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</si>
  <si>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</si>
  <si>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</si>
  <si>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</si>
  <si>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</si>
  <si>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</si>
  <si>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</si>
  <si>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</si>
  <si>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</si>
  <si>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</si>
  <si>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</si>
  <si>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</si>
  <si>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</si>
  <si>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</si>
  <si>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</si>
  <si>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</si>
  <si>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</si>
  <si>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</si>
  <si>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</si>
  <si>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</si>
  <si>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</si>
  <si>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James</t>
  </si>
  <si>
    <t>Solar Intensity</t>
  </si>
  <si>
    <t>Michael</t>
  </si>
  <si>
    <t>Assumptions, Environmental Model &amp; Financial Scenario</t>
  </si>
  <si>
    <t>Units per lot</t>
  </si>
  <si>
    <t>Days</t>
  </si>
  <si>
    <t>Operators</t>
  </si>
  <si>
    <t>Apache ASP</t>
  </si>
  <si>
    <t>Odyssey ASP</t>
  </si>
  <si>
    <t>John</t>
  </si>
  <si>
    <t>TestPAC energy savings</t>
  </si>
  <si>
    <t>Ideal solar / power index</t>
  </si>
  <si>
    <t>Ideal humidity</t>
  </si>
  <si>
    <t>Daily mean solar</t>
  </si>
  <si>
    <t>Humidity</t>
  </si>
  <si>
    <t>Daily mean humidity</t>
  </si>
  <si>
    <t>Apache mean yield ex-Barbara</t>
  </si>
  <si>
    <t>Robert</t>
  </si>
  <si>
    <t>Odyssey mean yield</t>
  </si>
  <si>
    <t>Var(Solar)</t>
  </si>
  <si>
    <t>Var(Humidity)</t>
  </si>
  <si>
    <t>Cov(Solar,Humidity)</t>
  </si>
  <si>
    <t>David</t>
  </si>
  <si>
    <t>Cov(Apache,Solar)</t>
  </si>
  <si>
    <t>Cov(Apache,Humidity)</t>
  </si>
  <si>
    <t>Cov(Odyssey,Solar)</t>
  </si>
  <si>
    <t>Cov(Odyssey,Humidity)</t>
  </si>
  <si>
    <t>William</t>
  </si>
  <si>
    <t>Regression denominator</t>
  </si>
  <si>
    <t>Apache solar coefficient</t>
  </si>
  <si>
    <t>Apache humidity coefficient</t>
  </si>
  <si>
    <t>Apache intercept</t>
  </si>
  <si>
    <t>Richard</t>
  </si>
  <si>
    <t>Odyssey solar coefficient</t>
  </si>
  <si>
    <t>Odyssey humidity coefficient</t>
  </si>
  <si>
    <t>Odyssey intercept</t>
  </si>
  <si>
    <t>Apache modeled ideal yield</t>
  </si>
  <si>
    <t>Odyssey modeled ideal yield</t>
  </si>
  <si>
    <t>Apache yield variation explained by weather (R²)</t>
  </si>
  <si>
    <t>Joseph</t>
  </si>
  <si>
    <t>Odyssey yield variation explained by weather (R²)</t>
  </si>
  <si>
    <t>Apache environmental yield gap</t>
  </si>
  <si>
    <t>Apache environmental lost units</t>
  </si>
  <si>
    <t>Thomas</t>
  </si>
  <si>
    <t>Apache environmental revenue impact</t>
  </si>
  <si>
    <t>Odyssey environmental yield gap</t>
  </si>
  <si>
    <t>Odyssey environmental lost units</t>
  </si>
  <si>
    <t>Odyssey environmental revenue impact</t>
  </si>
  <si>
    <t>Barbara Apache yield shortfall</t>
  </si>
  <si>
    <t>Christopher</t>
  </si>
  <si>
    <t>Barbara estimated lost units</t>
  </si>
  <si>
    <t>Barbara estimated revenue impact</t>
  </si>
  <si>
    <t>Modeled revenue gap vs ideal conditions</t>
  </si>
  <si>
    <t>Scenario revenue gap after energy savings</t>
  </si>
  <si>
    <t>Mary</t>
  </si>
  <si>
    <t>Interpretation</t>
  </si>
  <si>
    <t>Scenario estimate only — not an observed accounting loss</t>
  </si>
  <si>
    <t>Patricia</t>
  </si>
  <si>
    <t>Jennifer</t>
  </si>
  <si>
    <t>Day</t>
  </si>
  <si>
    <t>Linda</t>
  </si>
  <si>
    <t>Apache Avg Yield</t>
  </si>
  <si>
    <t>Apache Avg ex-Barbara</t>
  </si>
  <si>
    <t>Odyssey Avg Yield</t>
  </si>
  <si>
    <t>Solar Band</t>
  </si>
  <si>
    <t>Humidity Band</t>
  </si>
  <si>
    <t>Apache Predicted</t>
  </si>
  <si>
    <t>Odyssey Predicted</t>
  </si>
  <si>
    <t>Apache Residual</t>
  </si>
  <si>
    <t>Odyssey Residual</t>
  </si>
  <si>
    <t>Elizabeth</t>
  </si>
  <si>
    <t>Apache Avg</t>
  </si>
  <si>
    <t>Apache Peer Avg</t>
  </si>
  <si>
    <t>Apache Delta vs Peers</t>
  </si>
  <si>
    <t>Apache Z-Score</t>
  </si>
  <si>
    <t>Odyssey Avg</t>
  </si>
  <si>
    <t>Odyssey Peer Avg</t>
  </si>
  <si>
    <t>Odyssey Delta vs Peers</t>
  </si>
  <si>
    <t>Odyssey Z-Score</t>
  </si>
  <si>
    <t>Est. Apache Lost Units</t>
  </si>
  <si>
    <t>Est. Apache Revenue Impact</t>
  </si>
  <si>
    <t>Flag</t>
  </si>
  <si>
    <t>Low</t>
  </si>
  <si>
    <t>Barbara</t>
  </si>
  <si>
    <t>Susan</t>
  </si>
  <si>
    <t>Jessica</t>
  </si>
  <si>
    <t>Karen</t>
  </si>
  <si>
    <t>Medium</t>
  </si>
  <si>
    <t>Sarah</t>
  </si>
  <si>
    <t>High</t>
  </si>
  <si>
    <t>Edward</t>
  </si>
  <si>
    <t>Ryan</t>
  </si>
  <si>
    <t>Cynthia</t>
  </si>
  <si>
    <t>Amanda</t>
  </si>
  <si>
    <t>Apache Z</t>
  </si>
  <si>
    <t>Odyssey Z</t>
  </si>
  <si>
    <t>Financial Item</t>
  </si>
  <si>
    <t>Value</t>
  </si>
  <si>
    <t>Apache</t>
  </si>
  <si>
    <t>Odyssey</t>
  </si>
  <si>
    <t>Apache Actual</t>
  </si>
  <si>
    <t>Odyssey Actual</t>
  </si>
  <si>
    <t>TestPAC Energy Savings</t>
  </si>
  <si>
    <t>Modeled Yield Impact</t>
  </si>
  <si>
    <t>TestPAC Yield Investigation — Executive Dashboard</t>
  </si>
  <si>
    <t>Apache and Odyssey | 32 days | 24 operators | 10,000 units per lot</t>
  </si>
  <si>
    <t>Higher % = yield moves more closely with weather conditions; it does NOT mean higher yield or weather resistance.</t>
  </si>
  <si>
    <t>NOT an observed loss. This is a scenario estimate comparing TestPAC with modeled ideal conditions.</t>
  </si>
  <si>
    <t>Management readout: Apache is materially more sensitive to TestPAC environmental conditions than Odyssey. One Apache operator (Barbara) is a &gt;3σ negative outlier while her Odyssey results are normal. The financial comparison is a modeled scenario using ideal solar/power = 99 and humidity = 0; see Assumptions &amp; Model for all logic.</t>
  </si>
  <si>
    <t>Barbara Detail — daily comparison to the other 23 operators</t>
  </si>
  <si>
    <t>Barbara checks</t>
  </si>
  <si>
    <t>Result</t>
  </si>
  <si>
    <t>Apache Barbara</t>
  </si>
  <si>
    <t>Apache Diff</t>
  </si>
  <si>
    <t>Apache Lowest?</t>
  </si>
  <si>
    <t>Odyssey Barbara</t>
  </si>
  <si>
    <t>Odyssey Diff</t>
  </si>
  <si>
    <t>Apache days below peer avg</t>
  </si>
  <si>
    <t>Apache days with lowest yield</t>
  </si>
  <si>
    <t>Odyssey avg delta vs peers</t>
  </si>
  <si>
    <t>Environmental Drivers — Solar Intensity &amp; Humidity</t>
  </si>
  <si>
    <t>Model isolates solar and humidity simultaneously; Apache model excludes Barbara to isolate the facility effect.</t>
  </si>
  <si>
    <t>How to read the model: a higher R² means daily yield changes track solar intensity and humidity more closely. It is not a yield score.</t>
  </si>
  <si>
    <t>Interpretation: after controlling for both environmental variables, solar intensity has a positive relationship with yield and humidity has a negative relationship. The modeled effect is much larger for Apache, matching the case concern that Apache testing requires especially stable electrical and thermal conditions.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</si>
</sst>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&quot;%&quot;"/>
    <numFmt numFmtId="165" formatCode="$#,##0"/>
    <numFmt numFmtId="166" formatCode="0.000000"/>
    <numFmt numFmtId="167" formatCode="0.0%"/>
    <numFmt numFmtId="168" formatCode="0.0000"/>
    <numFmt numFmtId="169" formatCode="#,##0.0"/>
  </numFmts>
  <fonts count="23">
    <font>
      <sz val="11.0"/>
      <color rgb="FF000000"/>
      <name val="Carlito"/>
      <scheme val="minor"/>
    </font>
    <font>
      <b/>
      <sz val="18.0"/>
      <color rgb="FFFFFFFF"/>
      <name val="Carlito"/>
    </font>
    <font>
      <b/>
      <sz val="11.0"/>
      <color rgb="FF17365D"/>
      <name val="Carlito"/>
    </font>
    <font>
      <sz val="11.0"/>
      <color theme="1"/>
      <name val="Carlito"/>
    </font>
    <font>
      <sz val="11.0"/>
      <color rgb="FF222222"/>
      <name val="Carlito"/>
    </font>
    <font>
      <b/>
      <sz val="11.0"/>
      <color rgb="FF7F6000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b/>
      <sz val="16.0"/>
      <color rgb="FFFFFFFF"/>
      <name val="Carlito"/>
    </font>
    <font>
      <color theme="1"/>
      <name val="Carlito"/>
      <scheme val="minor"/>
    </font>
    <font>
      <b/>
      <sz val="20.0"/>
      <color rgb="FFFFFFFF"/>
      <name val="Carlito"/>
    </font>
    <font>
      <b/>
      <sz val="13.0"/>
      <color rgb="FF17365D"/>
      <name val="Carlito"/>
    </font>
    <font>
      <b/>
      <sz val="13.0"/>
      <color rgb="FF2A7F7F"/>
      <name val="Carlito"/>
    </font>
    <font>
      <b/>
      <sz val="13.0"/>
      <color rgb="FFC55A11"/>
      <name val="Carlito"/>
    </font>
    <font>
      <b/>
      <sz val="13.0"/>
      <color rgb="FFC00000"/>
      <name val="Carlito"/>
    </font>
    <font>
      <b/>
      <sz val="12.0"/>
      <color rgb="FF17365D"/>
      <name val="Carlito"/>
    </font>
    <font>
      <b/>
      <sz val="12.0"/>
      <color rgb="FF2A7F7F"/>
      <name val="Carlito"/>
    </font>
    <font>
      <b/>
      <sz val="13.0"/>
      <color rgb="FF548235"/>
      <name val="Carlito"/>
    </font>
    <font>
      <b/>
      <sz val="11.0"/>
      <color rgb="FFC55A11"/>
      <name val="Carlito"/>
    </font>
    <font>
      <b/>
      <sz val="10.0"/>
      <color rgb="FF7F6000"/>
      <name val="Carlito"/>
    </font>
    <font>
      <b/>
      <sz val="11.0"/>
      <color rgb="FF222222"/>
      <name val="Carlito"/>
    </font>
    <font>
      <b/>
      <sz val="11.0"/>
      <color rgb="FF2A7F7F"/>
      <name val="Carlito"/>
    </font>
    <font>
      <b/>
      <sz val="13.0"/>
      <color rgb="FF666666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EEE"/>
        <bgColor rgb="FFDDEEEE"/>
      </patternFill>
    </fill>
    <fill>
      <patternFill patternType="solid">
        <fgColor rgb="FFF2F2F2"/>
        <bgColor rgb="FFF2F2F2"/>
      </patternFill>
    </fill>
    <fill>
      <patternFill patternType="solid">
        <fgColor rgb="FF2A7F7F"/>
        <bgColor rgb="FF2A7F7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E2F0D9"/>
        <bgColor rgb="FFE2F0D9"/>
      </patternFill>
    </fill>
    <fill>
      <patternFill patternType="solid">
        <fgColor rgb="FFEAF4EA"/>
        <bgColor rgb="FFEAF4EA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vertical="top"/>
    </xf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shrinkToFit="0" vertical="top" wrapText="1"/>
    </xf>
    <xf borderId="0" fillId="5" fontId="5" numFmtId="0" xfId="0" applyFill="1" applyFont="1"/>
    <xf borderId="0" fillId="2" fontId="6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6" fontId="7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8" numFmtId="0" xfId="0" applyFill="1" applyFont="1"/>
    <xf borderId="0" fillId="0" fontId="3" numFmtId="0" xfId="0" applyFont="1"/>
    <xf borderId="0" fillId="3" fontId="7" numFmtId="0" xfId="0" applyFill="1" applyFont="1"/>
    <xf borderId="0" fillId="0" fontId="3" numFmtId="1" xfId="0" applyFont="1" applyNumberFormat="1"/>
    <xf borderId="0" fillId="0" fontId="3" numFmtId="165" xfId="0" applyFont="1" applyNumberFormat="1"/>
    <xf borderId="0" fillId="7" fontId="7" numFmtId="0" xfId="0" applyFill="1" applyFont="1"/>
    <xf borderId="0" fillId="0" fontId="3" numFmtId="164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8" fontId="6" numFmtId="0" xfId="0" applyFill="1" applyFont="1"/>
    <xf borderId="0" fillId="2" fontId="6" numFmtId="0" xfId="0" applyAlignment="1" applyFill="1" applyFont="1">
      <alignment horizontal="center" readingOrder="0" shrinkToFit="0" vertical="center" wrapText="1"/>
    </xf>
    <xf borderId="0" fillId="0" fontId="3" numFmtId="168" xfId="0" applyAlignment="1" applyFont="1" applyNumberForma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169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9" fontId="6" numFmtId="0" xfId="0" applyFill="1" applyFont="1"/>
    <xf borderId="0" fillId="0" fontId="9" numFmtId="0" xfId="0" applyFont="1"/>
    <xf borderId="0" fillId="0" fontId="9" numFmtId="2" xfId="0" applyFont="1" applyNumberFormat="1"/>
    <xf borderId="0" fillId="0" fontId="9" numFmtId="164" xfId="0" applyFont="1" applyNumberFormat="1"/>
    <xf borderId="0" fillId="0" fontId="9" numFmtId="168" xfId="0" applyFont="1" applyNumberFormat="1"/>
    <xf borderId="0" fillId="2" fontId="10" numFmtId="0" xfId="0" applyAlignment="1" applyFill="1" applyFont="1">
      <alignment vertical="center"/>
    </xf>
    <xf borderId="0" fillId="3" fontId="2" numFmtId="0" xfId="0" applyFill="1" applyFont="1"/>
    <xf borderId="0" fillId="3" fontId="11" numFmtId="0" xfId="0" applyAlignment="1" applyFill="1" applyFont="1">
      <alignment horizontal="center" shrinkToFit="0" vertical="center" wrapText="1"/>
    </xf>
    <xf borderId="0" fillId="6" fontId="12" numFmtId="0" xfId="0" applyAlignment="1" applyFill="1" applyFont="1">
      <alignment horizontal="center" shrinkToFit="0" vertical="center" wrapText="1"/>
    </xf>
    <xf borderId="0" fillId="4" fontId="13" numFmtId="0" xfId="0" applyAlignment="1" applyFill="1" applyFont="1">
      <alignment horizontal="center" shrinkToFit="0" vertical="center" wrapText="1"/>
    </xf>
    <xf borderId="0" fillId="10" fontId="14" numFmtId="0" xfId="0" applyAlignment="1" applyFill="1" applyFont="1">
      <alignment horizontal="center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0" fillId="6" fontId="16" numFmtId="0" xfId="0" applyAlignment="1" applyFill="1" applyFont="1">
      <alignment horizontal="center" shrinkToFit="0" vertical="center" wrapText="1"/>
    </xf>
    <xf borderId="0" fillId="11" fontId="17" numFmtId="0" xfId="0" applyAlignment="1" applyFill="1" applyFont="1">
      <alignment horizontal="center" shrinkToFit="0" vertical="center" wrapText="1"/>
    </xf>
    <xf borderId="0" fillId="4" fontId="18" numFmtId="0" xfId="0" applyAlignment="1" applyFill="1" applyFont="1">
      <alignment horizontal="center" shrinkToFit="0" vertical="center" wrapText="1"/>
    </xf>
    <xf borderId="0" fillId="5" fontId="19" numFmtId="0" xfId="0" applyAlignment="1" applyFill="1" applyFont="1">
      <alignment horizontal="center" shrinkToFit="0" vertical="center" wrapText="1"/>
    </xf>
    <xf borderId="0" fillId="5" fontId="20" numFmtId="0" xfId="0" applyAlignment="1" applyFill="1" applyFont="1">
      <alignment shrinkToFit="0" vertical="center" wrapText="1"/>
    </xf>
    <xf borderId="0" fillId="6" fontId="7" numFmtId="0" xfId="0" applyFill="1" applyFont="1"/>
    <xf borderId="0" fillId="8" fontId="10" numFmtId="0" xfId="0" applyAlignment="1" applyFill="1" applyFont="1">
      <alignment vertical="center"/>
    </xf>
    <xf borderId="0" fillId="6" fontId="21" numFmtId="0" xfId="0" applyFill="1" applyFont="1"/>
    <xf borderId="0" fillId="7" fontId="22" numFmtId="0" xfId="0" applyAlignment="1" applyFill="1" applyFont="1">
      <alignment horizontal="center" shrinkToFit="0" vertical="center" wrapText="1"/>
    </xf>
    <xf borderId="0" fillId="12" fontId="20" numFmtId="0" xfId="0" applyAlignment="1" applyFill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C00000"/>
      </font>
      <fill>
        <patternFill patternType="solid">
          <fgColor rgb="FFF4CCCC"/>
          <bgColor rgb="FFF4CCCC"/>
        </patternFill>
      </fill>
      <border/>
    </dxf>
    <dxf>
      <font>
        <b/>
        <color rgb="FFC55A11"/>
      </font>
      <fill>
        <patternFill patternType="solid">
          <fgColor rgb="FFFCE4D6"/>
          <bgColor rgb="FFFCE4D6"/>
        </patternFill>
      </fill>
      <border/>
    </dxf>
  </dxfs>
  <tableStyles count="5">
    <tableStyle count="4" pivot="0" name="Apache 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ather 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yssey 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erator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Average Yield — Apache vs Odyssey</a:t>
            </a:r>
          </a:p>
        </c:rich>
      </c:tx>
      <c:overlay val="0"/>
    </c:title>
    <c:plotArea>
      <c:layout/>
      <c:lineChart>
        <c:ser>
          <c:idx val="0"/>
          <c:order val="0"/>
          <c:tx>
            <c:v>Apache Avg Yield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'Chart Data'!$A$2:$A$33</c:f>
            </c:strRef>
          </c:cat>
          <c:val>
            <c:numRef>
              <c:f>'Chart Data'!$B$2:$B$33</c:f>
              <c:numCache/>
            </c:numRef>
          </c:val>
          <c:smooth val="0"/>
        </c:ser>
        <c:ser>
          <c:idx val="1"/>
          <c:order val="1"/>
          <c:tx>
            <c:v>Odyssey Avg Yield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'Chart Data'!$A$2:$A$33</c:f>
            </c:strRef>
          </c:cat>
          <c:val>
            <c:numRef>
              <c:f>'Chart Data'!$C$2:$C$33</c:f>
              <c:numCache/>
            </c:numRef>
          </c:val>
          <c:smooth val="0"/>
        </c:ser>
        <c:axId val="743739069"/>
        <c:axId val="1035325662"/>
      </c:lineChart>
      <c:catAx>
        <c:axId val="743739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325662"/>
      </c:catAx>
      <c:valAx>
        <c:axId val="103532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7390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Operator Yield Z-Scores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Apache Z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 Data'!$E$2:$E$25</c:f>
            </c:strRef>
          </c:cat>
          <c:val>
            <c:numRef>
              <c:f>'Chart Data'!$F$2:$F$25</c:f>
              <c:numCache/>
            </c:numRef>
          </c:val>
        </c:ser>
        <c:ser>
          <c:idx val="1"/>
          <c:order val="1"/>
          <c:tx>
            <c:v>Odyssey Z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 Data'!$E$2:$E$25</c:f>
            </c:strRef>
          </c:cat>
          <c:val>
            <c:numRef>
              <c:f>'Chart Data'!$G$2:$G$25</c:f>
              <c:numCache/>
            </c:numRef>
          </c:val>
        </c:ser>
        <c:axId val="984439506"/>
        <c:axId val="1210578239"/>
      </c:barChart>
      <c:catAx>
        <c:axId val="984439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578239"/>
      </c:catAx>
      <c:valAx>
        <c:axId val="1210578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43950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Financial Comparison — 32 Days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Value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 Data'!$I$2:$I$3</c:f>
            </c:strRef>
          </c:cat>
          <c:val>
            <c:numRef>
              <c:f>'Chart Data'!$J$2:$J$3</c:f>
              <c:numCache/>
            </c:numRef>
          </c:val>
        </c:ser>
        <c:axId val="1492886075"/>
        <c:axId val="39370278"/>
      </c:barChart>
      <c:catAx>
        <c:axId val="1492886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70278"/>
      </c:catAx>
      <c:valAx>
        <c:axId val="39370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88607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Yield by Solar Intensity 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Apache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 Data'!$L$2:$L$4</c:f>
            </c:strRef>
          </c:cat>
          <c:val>
            <c:numRef>
              <c:f>'Chart Data'!$M$2:$M$4</c:f>
              <c:numCache/>
            </c:numRef>
          </c:val>
        </c:ser>
        <c:ser>
          <c:idx val="1"/>
          <c:order val="1"/>
          <c:tx>
            <c:v>Odyssey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 Data'!$L$2:$L$4</c:f>
            </c:strRef>
          </c:cat>
          <c:val>
            <c:numRef>
              <c:f>'Chart Data'!$N$2:$N$4</c:f>
              <c:numCache/>
            </c:numRef>
          </c:val>
        </c:ser>
        <c:axId val="815623080"/>
        <c:axId val="614775218"/>
      </c:barChart>
      <c:catAx>
        <c:axId val="815623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775218"/>
      </c:catAx>
      <c:valAx>
        <c:axId val="614775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6230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Yield by Solar Intensity 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Apache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 Data'!$L$2:$L$4</c:f>
            </c:strRef>
          </c:cat>
          <c:val>
            <c:numRef>
              <c:f>'Chart Data'!$M$2:$M$4</c:f>
              <c:numCache/>
            </c:numRef>
          </c:val>
        </c:ser>
        <c:ser>
          <c:idx val="1"/>
          <c:order val="1"/>
          <c:tx>
            <c:v>Odyssey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 Data'!$L$2:$L$4</c:f>
            </c:strRef>
          </c:cat>
          <c:val>
            <c:numRef>
              <c:f>'Chart Data'!$N$2:$N$4</c:f>
              <c:numCache/>
            </c:numRef>
          </c:val>
        </c:ser>
        <c:axId val="527106597"/>
        <c:axId val="1421684669"/>
      </c:barChart>
      <c:catAx>
        <c:axId val="527106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84669"/>
      </c:catAx>
      <c:valAx>
        <c:axId val="142168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1065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Yield by Humidity 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Apache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 Data'!$P$2:$P$4</c:f>
            </c:strRef>
          </c:cat>
          <c:val>
            <c:numRef>
              <c:f>'Chart Data'!$Q$2:$Q$4</c:f>
              <c:numCache/>
            </c:numRef>
          </c:val>
        </c:ser>
        <c:ser>
          <c:idx val="1"/>
          <c:order val="1"/>
          <c:tx>
            <c:v>Odyssey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 Data'!$P$2:$P$4</c:f>
            </c:strRef>
          </c:cat>
          <c:val>
            <c:numRef>
              <c:f>'Chart Data'!$R$2:$R$4</c:f>
              <c:numCache/>
            </c:numRef>
          </c:val>
        </c:ser>
        <c:axId val="912250174"/>
        <c:axId val="119182943"/>
      </c:barChart>
      <c:catAx>
        <c:axId val="912250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82943"/>
      </c:catAx>
      <c:valAx>
        <c:axId val="11918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25017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Apache — Actual vs Weather Model</a:t>
            </a:r>
          </a:p>
        </c:rich>
      </c:tx>
      <c:overlay val="0"/>
    </c:title>
    <c:plotArea>
      <c:layout/>
      <c:lineChart>
        <c:ser>
          <c:idx val="0"/>
          <c:order val="0"/>
          <c:tx>
            <c:v>Apache Actual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'Chart Data'!$T$2:$T$33</c:f>
            </c:strRef>
          </c:cat>
          <c:val>
            <c:numRef>
              <c:f>'Chart Data'!$U$2:$U$33</c:f>
              <c:numCache/>
            </c:numRef>
          </c:val>
          <c:smooth val="0"/>
        </c:ser>
        <c:ser>
          <c:idx val="1"/>
          <c:order val="1"/>
          <c:tx>
            <c:v>Apache Predicted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'Chart Data'!$T$2:$T$33</c:f>
            </c:strRef>
          </c:cat>
          <c:val>
            <c:numRef>
              <c:f>'Chart Data'!$V$2:$V$33</c:f>
              <c:numCache/>
            </c:numRef>
          </c:val>
          <c:smooth val="0"/>
        </c:ser>
        <c:axId val="1537524970"/>
        <c:axId val="872394756"/>
      </c:lineChart>
      <c:catAx>
        <c:axId val="1537524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394756"/>
      </c:catAx>
      <c:valAx>
        <c:axId val="872394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5249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Odyssey — Actual vs Weather Model</a:t>
            </a:r>
          </a:p>
        </c:rich>
      </c:tx>
      <c:overlay val="0"/>
    </c:title>
    <c:plotArea>
      <c:layout/>
      <c:lineChart>
        <c:ser>
          <c:idx val="0"/>
          <c:order val="0"/>
          <c:tx>
            <c:v>Odyssey Actual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'Chart Data'!$X$2:$X$33</c:f>
            </c:strRef>
          </c:cat>
          <c:val>
            <c:numRef>
              <c:f>'Chart Data'!$Y$2:$Y$33</c:f>
              <c:numCache/>
            </c:numRef>
          </c:val>
          <c:smooth val="0"/>
        </c:ser>
        <c:ser>
          <c:idx val="1"/>
          <c:order val="1"/>
          <c:tx>
            <c:v>Odyssey Predicted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'Chart Data'!$X$2:$X$33</c:f>
            </c:strRef>
          </c:cat>
          <c:val>
            <c:numRef>
              <c:f>'Chart Data'!$Z$2:$Z$33</c:f>
              <c:numCache/>
            </c:numRef>
          </c:val>
          <c:smooth val="0"/>
        </c:ser>
        <c:axId val="571667339"/>
        <c:axId val="291878775"/>
      </c:lineChart>
      <c:catAx>
        <c:axId val="571667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78775"/>
      </c:catAx>
      <c:valAx>
        <c:axId val="291878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66733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67056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0</xdr:rowOff>
    </xdr:from>
    <xdr:ext cx="670560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6705600" cy="28003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36</xdr:row>
      <xdr:rowOff>0</xdr:rowOff>
    </xdr:from>
    <xdr:ext cx="6705600" cy="28003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6705600" cy="32004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10</xdr:row>
      <xdr:rowOff>0</xdr:rowOff>
    </xdr:from>
    <xdr:ext cx="6705600" cy="32004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6705600" cy="3400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6705600" cy="3400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5" displayName="ApacheRawTable" name="ApacheRawTable" id="2">
  <tableColumns count="33">
    <tableColumn name="Operator" id="1"/>
    <tableColumn name="Day 1" id="2"/>
    <tableColumn name="Day 2" id="3"/>
    <tableColumn name="Day 3" id="4"/>
    <tableColumn name="Day 4" id="5"/>
    <tableColumn name="Day 5" id="6"/>
    <tableColumn name="Day 6" id="7"/>
    <tableColumn name="Day 7" id="8"/>
    <tableColumn name="Day 8" id="9"/>
    <tableColumn name="Day 9" id="10"/>
    <tableColumn name="Day 10" id="11"/>
    <tableColumn name="Day 11" id="12"/>
    <tableColumn name="Day 12" id="13"/>
    <tableColumn name="Day 13" id="14"/>
    <tableColumn name="Day 14" id="15"/>
    <tableColumn name="Day 15" id="16"/>
    <tableColumn name="Day 16" id="17"/>
    <tableColumn name="Day 17" id="18"/>
    <tableColumn name="Day 18" id="19"/>
    <tableColumn name="Day 19" id="20"/>
    <tableColumn name="Day 20" id="21"/>
    <tableColumn name="Day 21" id="22"/>
    <tableColumn name="Day 22" id="23"/>
    <tableColumn name="Day 23" id="24"/>
    <tableColumn name="Day 24" id="25"/>
    <tableColumn name="Day 25" id="26"/>
    <tableColumn name="Day 26" id="27"/>
    <tableColumn name="Day 27" id="28"/>
    <tableColumn name="Day 28" id="29"/>
    <tableColumn name="Day 29" id="30"/>
    <tableColumn name="Day 30" id="31"/>
    <tableColumn name="Day 31" id="32"/>
    <tableColumn name="Day 32" id="33"/>
  </tableColumns>
  <tableStyleInfo name="Apache Raw-style" showColumnStripes="0" showFirstColumn="1" showLastColumn="1" showRowStripes="1"/>
</table>
</file>

<file path=xl/tables/table2.xml><?xml version="1.0" encoding="utf-8"?>
<table xmlns="http://schemas.openxmlformats.org/spreadsheetml/2006/main" ref="A1:AG25" displayName="OdysseyRawTable" name="OdysseyRawTable" id="1">
  <tableColumns count="33">
    <tableColumn name="Operator" id="1"/>
    <tableColumn name="Day 1" id="2"/>
    <tableColumn name="Day 2" id="3"/>
    <tableColumn name="Day 3" id="4"/>
    <tableColumn name="Day 4" id="5"/>
    <tableColumn name="Day 5" id="6"/>
    <tableColumn name="Day 6" id="7"/>
    <tableColumn name="Day 7" id="8"/>
    <tableColumn name="Day 8" id="9"/>
    <tableColumn name="Day 9" id="10"/>
    <tableColumn name="Day 10" id="11"/>
    <tableColumn name="Day 11" id="12"/>
    <tableColumn name="Day 12" id="13"/>
    <tableColumn name="Day 13" id="14"/>
    <tableColumn name="Day 14" id="15"/>
    <tableColumn name="Day 15" id="16"/>
    <tableColumn name="Day 16" id="17"/>
    <tableColumn name="Day 17" id="18"/>
    <tableColumn name="Day 18" id="19"/>
    <tableColumn name="Day 19" id="20"/>
    <tableColumn name="Day 20" id="21"/>
    <tableColumn name="Day 21" id="22"/>
    <tableColumn name="Day 22" id="23"/>
    <tableColumn name="Day 23" id="24"/>
    <tableColumn name="Day 24" id="25"/>
    <tableColumn name="Day 25" id="26"/>
    <tableColumn name="Day 26" id="27"/>
    <tableColumn name="Day 27" id="28"/>
    <tableColumn name="Day 28" id="29"/>
    <tableColumn name="Day 29" id="30"/>
    <tableColumn name="Day 30" id="31"/>
    <tableColumn name="Day 31" id="32"/>
    <tableColumn name="Day 32" id="33"/>
  </tableColumns>
  <tableStyleInfo name="Odyssey Raw-style" showColumnStripes="0" showFirstColumn="1" showLastColumn="1" showRowStripes="1"/>
</table>
</file>

<file path=xl/tables/table3.xml><?xml version="1.0" encoding="utf-8"?>
<table xmlns="http://schemas.openxmlformats.org/spreadsheetml/2006/main" ref="A1:AG3" displayName="WeatherRawTable" name="WeatherRawTable" id="3">
  <tableColumns count="33">
    <tableColumn name="Metric" id="1"/>
    <tableColumn name="Day 1" id="2"/>
    <tableColumn name="Day 2" id="3"/>
    <tableColumn name="Day 3" id="4"/>
    <tableColumn name="Day 4" id="5"/>
    <tableColumn name="Day 5" id="6"/>
    <tableColumn name="Day 6" id="7"/>
    <tableColumn name="Day 7" id="8"/>
    <tableColumn name="Day 8" id="9"/>
    <tableColumn name="Day 9" id="10"/>
    <tableColumn name="Day 10" id="11"/>
    <tableColumn name="Day 11" id="12"/>
    <tableColumn name="Day 12" id="13"/>
    <tableColumn name="Day 13" id="14"/>
    <tableColumn name="Day 14" id="15"/>
    <tableColumn name="Day 15" id="16"/>
    <tableColumn name="Day 16" id="17"/>
    <tableColumn name="Day 17" id="18"/>
    <tableColumn name="Day 18" id="19"/>
    <tableColumn name="Day 19" id="20"/>
    <tableColumn name="Day 20" id="21"/>
    <tableColumn name="Day 21" id="22"/>
    <tableColumn name="Day 22" id="23"/>
    <tableColumn name="Day 23" id="24"/>
    <tableColumn name="Day 24" id="25"/>
    <tableColumn name="Day 25" id="26"/>
    <tableColumn name="Day 26" id="27"/>
    <tableColumn name="Day 27" id="28"/>
    <tableColumn name="Day 28" id="29"/>
    <tableColumn name="Day 29" id="30"/>
    <tableColumn name="Day 30" id="31"/>
    <tableColumn name="Day 31" id="32"/>
    <tableColumn name="Day 32" id="33"/>
  </tableColumns>
  <tableStyleInfo name="Weather Raw-style" showColumnStripes="0" showFirstColumn="1" showLastColumn="1" showRowStripes="1"/>
</table>
</file>

<file path=xl/tables/table4.xml><?xml version="1.0" encoding="utf-8"?>
<table xmlns="http://schemas.openxmlformats.org/spreadsheetml/2006/main" ref="A1:L33" displayName="DailyAnalysisTable" name="DailyAnalysisTable" id="4">
  <tableColumns count="12">
    <tableColumn name="Day" id="1"/>
    <tableColumn name="Solar Intensity" id="2"/>
    <tableColumn name="Humidity" id="3"/>
    <tableColumn name="Apache Avg Yield" id="4"/>
    <tableColumn name="Apache Avg ex-Barbara" id="5"/>
    <tableColumn name="Odyssey Avg Yield" id="6"/>
    <tableColumn name="Solar Band" id="7"/>
    <tableColumn name="Humidity Band" id="8"/>
    <tableColumn name="Apache Predicted" id="9"/>
    <tableColumn name="Odyssey Predicted" id="10"/>
    <tableColumn name="Apache Residual" id="11"/>
    <tableColumn name="Odyssey Residual" id="12"/>
  </tableColumns>
  <tableStyleInfo name="Daily Analysis-style" showColumnStripes="0" showFirstColumn="1" showLastColumn="1" showRowStripes="1"/>
</table>
</file>

<file path=xl/tables/table5.xml><?xml version="1.0" encoding="utf-8"?>
<table xmlns="http://schemas.openxmlformats.org/spreadsheetml/2006/main" ref="A1:L25" displayName="OperatorAnalysisTable" name="OperatorAnalysisTable" id="5">
  <tableColumns count="12">
    <tableColumn name="Operator" id="1"/>
    <tableColumn name="Apache Avg" id="2"/>
    <tableColumn name="Apache Peer Avg" id="3"/>
    <tableColumn name="Apache Delta vs Peers" id="4"/>
    <tableColumn name="Apache Z-Score" id="5"/>
    <tableColumn name="Odyssey Avg" id="6"/>
    <tableColumn name="Odyssey Peer Avg" id="7"/>
    <tableColumn name="Odyssey Delta vs Peers" id="8"/>
    <tableColumn name="Odyssey Z-Score" id="9"/>
    <tableColumn name="Est. Apache Lost Units" id="10"/>
    <tableColumn name="Est. Apache Revenue Impact" id="11"/>
    <tableColumn name="Flag" id="12"/>
  </tableColumns>
  <tableStyleInfo name="Operator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85.0"/>
    <col customWidth="1" min="3" max="26" width="8.63"/>
  </cols>
  <sheetData>
    <row r="1" ht="31.5" customHeight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12">
      <c r="A12" s="4" t="s">
        <v>17</v>
      </c>
    </row>
    <row r="16">
      <c r="A16" s="5" t="s">
        <v>18</v>
      </c>
      <c r="B16" s="3" t="s">
        <v>19</v>
      </c>
    </row>
    <row r="17">
      <c r="A17" s="5" t="s">
        <v>20</v>
      </c>
      <c r="B17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0"/>
    <col customWidth="1" min="2" max="33" width="10.0"/>
  </cols>
  <sheetData>
    <row r="1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  <c r="AG1" s="6" t="s">
        <v>55</v>
      </c>
    </row>
    <row r="2">
      <c r="A2" s="7" t="s">
        <v>56</v>
      </c>
      <c r="B2" s="8">
        <v>95.479</v>
      </c>
      <c r="C2" s="8">
        <v>95.1605</v>
      </c>
      <c r="D2" s="8">
        <v>94.8755</v>
      </c>
      <c r="E2" s="8">
        <v>95.3055</v>
      </c>
      <c r="F2" s="8">
        <v>95.70649999999999</v>
      </c>
      <c r="G2" s="8">
        <v>95.47850000000001</v>
      </c>
      <c r="H2" s="8">
        <v>95.115</v>
      </c>
      <c r="I2" s="8">
        <v>95.937</v>
      </c>
      <c r="J2" s="8">
        <v>95.26299999999999</v>
      </c>
      <c r="K2" s="8">
        <v>95.0975</v>
      </c>
      <c r="L2" s="8">
        <v>95.506</v>
      </c>
      <c r="M2" s="8">
        <v>95.2225</v>
      </c>
      <c r="N2" s="8">
        <v>95.5565</v>
      </c>
      <c r="O2" s="8">
        <v>95.2015</v>
      </c>
      <c r="P2" s="8">
        <v>95.6425</v>
      </c>
      <c r="Q2" s="8">
        <v>95.188</v>
      </c>
      <c r="R2" s="8">
        <v>95.51449999999998</v>
      </c>
      <c r="S2" s="8">
        <v>95.38950000000001</v>
      </c>
      <c r="T2" s="8">
        <v>95.016</v>
      </c>
      <c r="U2" s="8">
        <v>95.647</v>
      </c>
      <c r="V2" s="8">
        <v>95.1865</v>
      </c>
      <c r="W2" s="8">
        <v>95.393</v>
      </c>
      <c r="X2" s="8">
        <v>95.602</v>
      </c>
      <c r="Y2" s="8">
        <v>95.2655</v>
      </c>
      <c r="Z2" s="8">
        <v>95.65050000000001</v>
      </c>
      <c r="AA2" s="8">
        <v>95.1245</v>
      </c>
      <c r="AB2" s="8">
        <v>94.77799999999999</v>
      </c>
      <c r="AC2" s="8">
        <v>95.55</v>
      </c>
      <c r="AD2" s="8">
        <v>95.0605</v>
      </c>
      <c r="AE2" s="8">
        <v>95.31500000000001</v>
      </c>
      <c r="AF2" s="8">
        <v>95.1605</v>
      </c>
      <c r="AG2" s="8">
        <v>95.0135</v>
      </c>
    </row>
    <row r="3">
      <c r="A3" s="7" t="s">
        <v>58</v>
      </c>
      <c r="B3" s="8">
        <v>95.579</v>
      </c>
      <c r="C3" s="8">
        <v>95.0905</v>
      </c>
      <c r="D3" s="8">
        <v>95.01549999999999</v>
      </c>
      <c r="E3" s="8">
        <v>95.15549999999999</v>
      </c>
      <c r="F3" s="8">
        <v>95.6165</v>
      </c>
      <c r="G3" s="8">
        <v>95.6885</v>
      </c>
      <c r="H3" s="8">
        <v>94.955</v>
      </c>
      <c r="I3" s="8">
        <v>95.637</v>
      </c>
      <c r="J3" s="8">
        <v>95.423</v>
      </c>
      <c r="K3" s="8">
        <v>95.02749999999999</v>
      </c>
      <c r="L3" s="8">
        <v>95.34599999999999</v>
      </c>
      <c r="M3" s="8">
        <v>94.9725</v>
      </c>
      <c r="N3" s="8">
        <v>95.35650000000001</v>
      </c>
      <c r="O3" s="8">
        <v>95.0815</v>
      </c>
      <c r="P3" s="8">
        <v>95.67249999999999</v>
      </c>
      <c r="Q3" s="8">
        <v>95.158</v>
      </c>
      <c r="R3" s="8">
        <v>95.41449999999999</v>
      </c>
      <c r="S3" s="8">
        <v>95.43950000000001</v>
      </c>
      <c r="T3" s="8">
        <v>95.046</v>
      </c>
      <c r="U3" s="8">
        <v>95.457</v>
      </c>
      <c r="V3" s="8">
        <v>95.0265</v>
      </c>
      <c r="W3" s="8">
        <v>95.35300000000001</v>
      </c>
      <c r="X3" s="8">
        <v>95.562</v>
      </c>
      <c r="Y3" s="8">
        <v>95.0655</v>
      </c>
      <c r="Z3" s="8">
        <v>95.43050000000001</v>
      </c>
      <c r="AA3" s="8">
        <v>95.3245</v>
      </c>
      <c r="AB3" s="8">
        <v>95.068</v>
      </c>
      <c r="AC3" s="8">
        <v>95.36999999999999</v>
      </c>
      <c r="AD3" s="8">
        <v>94.9505</v>
      </c>
      <c r="AE3" s="8">
        <v>95.34500000000001</v>
      </c>
      <c r="AF3" s="8">
        <v>95.3105</v>
      </c>
      <c r="AG3" s="8">
        <v>94.9635</v>
      </c>
    </row>
    <row r="4">
      <c r="A4" s="7" t="s">
        <v>65</v>
      </c>
      <c r="B4" s="8">
        <v>95.42899999999999</v>
      </c>
      <c r="C4" s="8">
        <v>94.9205</v>
      </c>
      <c r="D4" s="8">
        <v>94.9555</v>
      </c>
      <c r="E4" s="8">
        <v>95.32549999999999</v>
      </c>
      <c r="F4" s="8">
        <v>95.8065</v>
      </c>
      <c r="G4" s="8">
        <v>95.5185</v>
      </c>
      <c r="H4" s="8">
        <v>94.895</v>
      </c>
      <c r="I4" s="8">
        <v>95.857</v>
      </c>
      <c r="J4" s="8">
        <v>95.193</v>
      </c>
      <c r="K4" s="8">
        <v>94.99749999999999</v>
      </c>
      <c r="L4" s="8">
        <v>95.446</v>
      </c>
      <c r="M4" s="8">
        <v>94.9225</v>
      </c>
      <c r="N4" s="8">
        <v>95.26650000000001</v>
      </c>
      <c r="O4" s="8">
        <v>95.0615</v>
      </c>
      <c r="P4" s="8">
        <v>95.62249999999999</v>
      </c>
      <c r="Q4" s="8">
        <v>95.238</v>
      </c>
      <c r="R4" s="8">
        <v>95.55449999999999</v>
      </c>
      <c r="S4" s="8">
        <v>95.4895</v>
      </c>
      <c r="T4" s="8">
        <v>94.956</v>
      </c>
      <c r="U4" s="8">
        <v>95.617</v>
      </c>
      <c r="V4" s="8">
        <v>95.3565</v>
      </c>
      <c r="W4" s="8">
        <v>95.57300000000001</v>
      </c>
      <c r="X4" s="8">
        <v>95.792</v>
      </c>
      <c r="Y4" s="8">
        <v>95.3555</v>
      </c>
      <c r="Z4" s="8">
        <v>95.7005</v>
      </c>
      <c r="AA4" s="8">
        <v>95.2945</v>
      </c>
      <c r="AB4" s="8">
        <v>94.91799999999999</v>
      </c>
      <c r="AC4" s="8">
        <v>95.38</v>
      </c>
      <c r="AD4" s="8">
        <v>94.7705</v>
      </c>
      <c r="AE4" s="8">
        <v>95.47500000000001</v>
      </c>
      <c r="AF4" s="8">
        <v>95.0805</v>
      </c>
      <c r="AG4" s="8">
        <v>94.8735</v>
      </c>
    </row>
    <row r="5">
      <c r="A5" s="7" t="s">
        <v>73</v>
      </c>
      <c r="B5" s="8">
        <v>95.59899999999999</v>
      </c>
      <c r="C5" s="8">
        <v>95.0505</v>
      </c>
      <c r="D5" s="8">
        <v>95.0655</v>
      </c>
      <c r="E5" s="8">
        <v>95.3655</v>
      </c>
      <c r="F5" s="8">
        <v>95.6865</v>
      </c>
      <c r="G5" s="8">
        <v>95.6485</v>
      </c>
      <c r="H5" s="8">
        <v>94.895</v>
      </c>
      <c r="I5" s="8">
        <v>95.597</v>
      </c>
      <c r="J5" s="8">
        <v>95.173</v>
      </c>
      <c r="K5" s="8">
        <v>95.11749999999999</v>
      </c>
      <c r="L5" s="8">
        <v>95.476</v>
      </c>
      <c r="M5" s="8">
        <v>95.1125</v>
      </c>
      <c r="N5" s="8">
        <v>95.4165</v>
      </c>
      <c r="O5" s="8">
        <v>95.2715</v>
      </c>
      <c r="P5" s="8">
        <v>95.62249999999999</v>
      </c>
      <c r="Q5" s="8">
        <v>95.03800000000001</v>
      </c>
      <c r="R5" s="8">
        <v>95.5045</v>
      </c>
      <c r="S5" s="8">
        <v>95.43950000000001</v>
      </c>
      <c r="T5" s="8">
        <v>94.896</v>
      </c>
      <c r="U5" s="8">
        <v>95.537</v>
      </c>
      <c r="V5" s="8">
        <v>95.0265</v>
      </c>
      <c r="W5" s="8">
        <v>95.173</v>
      </c>
      <c r="X5" s="8">
        <v>95.562</v>
      </c>
      <c r="Y5" s="8">
        <v>95.1755</v>
      </c>
      <c r="Z5" s="8">
        <v>95.6205</v>
      </c>
      <c r="AA5" s="8">
        <v>95.0345</v>
      </c>
      <c r="AB5" s="8">
        <v>95.07799999999999</v>
      </c>
      <c r="AC5" s="8">
        <v>95.49</v>
      </c>
      <c r="AD5" s="8">
        <v>94.9605</v>
      </c>
      <c r="AE5" s="8">
        <v>95.245</v>
      </c>
      <c r="AF5" s="8">
        <v>95.0905</v>
      </c>
      <c r="AG5" s="8">
        <v>94.9635</v>
      </c>
    </row>
    <row r="6">
      <c r="A6" s="7" t="s">
        <v>78</v>
      </c>
      <c r="B6" s="8">
        <v>95.469</v>
      </c>
      <c r="C6" s="8">
        <v>95.01050000000001</v>
      </c>
      <c r="D6" s="8">
        <v>95.07549999999999</v>
      </c>
      <c r="E6" s="8">
        <v>95.18549999999999</v>
      </c>
      <c r="F6" s="8">
        <v>95.5665</v>
      </c>
      <c r="G6" s="8">
        <v>95.7185</v>
      </c>
      <c r="H6" s="8">
        <v>95.05499999999999</v>
      </c>
      <c r="I6" s="8">
        <v>95.607</v>
      </c>
      <c r="J6" s="8">
        <v>95.34299999999999</v>
      </c>
      <c r="K6" s="8">
        <v>95.02749999999999</v>
      </c>
      <c r="L6" s="8">
        <v>95.65599999999999</v>
      </c>
      <c r="M6" s="8">
        <v>94.8825</v>
      </c>
      <c r="N6" s="8">
        <v>95.5065</v>
      </c>
      <c r="O6" s="8">
        <v>95.3215</v>
      </c>
      <c r="P6" s="8">
        <v>95.42249999999999</v>
      </c>
      <c r="Q6" s="8">
        <v>95.108</v>
      </c>
      <c r="R6" s="8">
        <v>95.5345</v>
      </c>
      <c r="S6" s="8">
        <v>95.53950000000002</v>
      </c>
      <c r="T6" s="8">
        <v>95.026</v>
      </c>
      <c r="U6" s="8">
        <v>95.417</v>
      </c>
      <c r="V6" s="8">
        <v>95.0265</v>
      </c>
      <c r="W6" s="8">
        <v>95.21300000000001</v>
      </c>
      <c r="X6" s="8">
        <v>95.872</v>
      </c>
      <c r="Y6" s="8">
        <v>95.3655</v>
      </c>
      <c r="Z6" s="8">
        <v>95.4405</v>
      </c>
      <c r="AA6" s="8">
        <v>95.3345</v>
      </c>
      <c r="AB6" s="8">
        <v>95.02799999999999</v>
      </c>
      <c r="AC6" s="8">
        <v>95.46</v>
      </c>
      <c r="AD6" s="8">
        <v>94.7105</v>
      </c>
      <c r="AE6" s="8">
        <v>95.185</v>
      </c>
      <c r="AF6" s="8">
        <v>95.1005</v>
      </c>
      <c r="AG6" s="8">
        <v>94.9735</v>
      </c>
    </row>
    <row r="7">
      <c r="A7" s="7" t="s">
        <v>83</v>
      </c>
      <c r="B7" s="8">
        <v>95.419</v>
      </c>
      <c r="C7" s="8">
        <v>95.01050000000001</v>
      </c>
      <c r="D7" s="8">
        <v>94.9455</v>
      </c>
      <c r="E7" s="8">
        <v>95.2755</v>
      </c>
      <c r="F7" s="8">
        <v>95.7865</v>
      </c>
      <c r="G7" s="8">
        <v>95.7385</v>
      </c>
      <c r="H7" s="8">
        <v>95.065</v>
      </c>
      <c r="I7" s="8">
        <v>95.747</v>
      </c>
      <c r="J7" s="8">
        <v>95.163</v>
      </c>
      <c r="K7" s="8">
        <v>94.90749999999998</v>
      </c>
      <c r="L7" s="8">
        <v>95.54599999999999</v>
      </c>
      <c r="M7" s="8">
        <v>95.2125</v>
      </c>
      <c r="N7" s="8">
        <v>95.2465</v>
      </c>
      <c r="O7" s="8">
        <v>95.2815</v>
      </c>
      <c r="P7" s="8">
        <v>95.70249999999999</v>
      </c>
      <c r="Q7" s="8">
        <v>95.238</v>
      </c>
      <c r="R7" s="8">
        <v>95.60449999999999</v>
      </c>
      <c r="S7" s="8">
        <v>95.71950000000001</v>
      </c>
      <c r="T7" s="8">
        <v>95.066</v>
      </c>
      <c r="U7" s="8">
        <v>95.317</v>
      </c>
      <c r="V7" s="8">
        <v>95.2465</v>
      </c>
      <c r="W7" s="8">
        <v>95.313</v>
      </c>
      <c r="X7" s="8">
        <v>95.61200000000001</v>
      </c>
      <c r="Y7" s="8">
        <v>95.1955</v>
      </c>
      <c r="Z7" s="8">
        <v>95.5805</v>
      </c>
      <c r="AA7" s="8">
        <v>95.1545</v>
      </c>
      <c r="AB7" s="8">
        <v>94.82799999999999</v>
      </c>
      <c r="AC7" s="8">
        <v>95.27</v>
      </c>
      <c r="AD7" s="8">
        <v>95.07050000000001</v>
      </c>
      <c r="AE7" s="8">
        <v>95.36500000000001</v>
      </c>
      <c r="AF7" s="8">
        <v>95.2305</v>
      </c>
      <c r="AG7" s="8">
        <v>95.0535</v>
      </c>
    </row>
    <row r="8">
      <c r="A8" s="7" t="s">
        <v>88</v>
      </c>
      <c r="B8" s="8">
        <v>95.31899999999999</v>
      </c>
      <c r="C8" s="8">
        <v>94.8405</v>
      </c>
      <c r="D8" s="8">
        <v>94.82549999999999</v>
      </c>
      <c r="E8" s="8">
        <v>95.1155</v>
      </c>
      <c r="F8" s="8">
        <v>95.6365</v>
      </c>
      <c r="G8" s="8">
        <v>95.5385</v>
      </c>
      <c r="H8" s="8">
        <v>95.15499999999999</v>
      </c>
      <c r="I8" s="8">
        <v>95.707</v>
      </c>
      <c r="J8" s="8">
        <v>95.393</v>
      </c>
      <c r="K8" s="8">
        <v>94.88749999999999</v>
      </c>
      <c r="L8" s="8">
        <v>95.386</v>
      </c>
      <c r="M8" s="8">
        <v>95.1925</v>
      </c>
      <c r="N8" s="8">
        <v>95.3865</v>
      </c>
      <c r="O8" s="8">
        <v>95.2515</v>
      </c>
      <c r="P8" s="8">
        <v>95.5825</v>
      </c>
      <c r="Q8" s="8">
        <v>95.14800000000001</v>
      </c>
      <c r="R8" s="8">
        <v>95.60449999999999</v>
      </c>
      <c r="S8" s="8">
        <v>95.41950000000001</v>
      </c>
      <c r="T8" s="8">
        <v>94.96600000000001</v>
      </c>
      <c r="U8" s="8">
        <v>95.417</v>
      </c>
      <c r="V8" s="8">
        <v>95.1565</v>
      </c>
      <c r="W8" s="8">
        <v>95.363</v>
      </c>
      <c r="X8" s="8">
        <v>95.732</v>
      </c>
      <c r="Y8" s="8">
        <v>95.2955</v>
      </c>
      <c r="Z8" s="8">
        <v>95.5005</v>
      </c>
      <c r="AA8" s="8">
        <v>95.0545</v>
      </c>
      <c r="AB8" s="8">
        <v>95.01799999999999</v>
      </c>
      <c r="AC8" s="8">
        <v>95.22999999999999</v>
      </c>
      <c r="AD8" s="8">
        <v>94.7505</v>
      </c>
      <c r="AE8" s="8">
        <v>95.325</v>
      </c>
      <c r="AF8" s="8">
        <v>95.2205</v>
      </c>
      <c r="AG8" s="8">
        <v>94.8935</v>
      </c>
    </row>
    <row r="9">
      <c r="A9" s="7" t="s">
        <v>95</v>
      </c>
      <c r="B9" s="8">
        <v>95.54899999999999</v>
      </c>
      <c r="C9" s="8">
        <v>94.8805</v>
      </c>
      <c r="D9" s="8">
        <v>95.01549999999999</v>
      </c>
      <c r="E9" s="8">
        <v>95.3155</v>
      </c>
      <c r="F9" s="8">
        <v>95.5865</v>
      </c>
      <c r="G9" s="8">
        <v>95.4885</v>
      </c>
      <c r="H9" s="8">
        <v>95.115</v>
      </c>
      <c r="I9" s="8">
        <v>95.947</v>
      </c>
      <c r="J9" s="8">
        <v>95.103</v>
      </c>
      <c r="K9" s="8">
        <v>95.05749999999999</v>
      </c>
      <c r="L9" s="8">
        <v>95.576</v>
      </c>
      <c r="M9" s="8">
        <v>95.0525</v>
      </c>
      <c r="N9" s="8">
        <v>95.2865</v>
      </c>
      <c r="O9" s="8">
        <v>95.1215</v>
      </c>
      <c r="P9" s="8">
        <v>95.5825</v>
      </c>
      <c r="Q9" s="8">
        <v>94.988</v>
      </c>
      <c r="R9" s="8">
        <v>95.24449999999999</v>
      </c>
      <c r="S9" s="8">
        <v>95.43950000000001</v>
      </c>
      <c r="T9" s="8">
        <v>95.066</v>
      </c>
      <c r="U9" s="8">
        <v>95.527</v>
      </c>
      <c r="V9" s="8">
        <v>95.25649999999999</v>
      </c>
      <c r="W9" s="8">
        <v>95.533</v>
      </c>
      <c r="X9" s="8">
        <v>95.522</v>
      </c>
      <c r="Y9" s="8">
        <v>95.2555</v>
      </c>
      <c r="Z9" s="8">
        <v>95.5605</v>
      </c>
      <c r="AA9" s="8">
        <v>95.3145</v>
      </c>
      <c r="AB9" s="8">
        <v>94.758</v>
      </c>
      <c r="AC9" s="8">
        <v>95.17999999999999</v>
      </c>
      <c r="AD9" s="8">
        <v>94.7305</v>
      </c>
      <c r="AE9" s="8">
        <v>95.47500000000001</v>
      </c>
      <c r="AF9" s="8">
        <v>95.2105</v>
      </c>
      <c r="AG9" s="8">
        <v>95.1435</v>
      </c>
    </row>
    <row r="10">
      <c r="A10" s="7" t="s">
        <v>99</v>
      </c>
      <c r="B10" s="8">
        <v>95.479</v>
      </c>
      <c r="C10" s="8">
        <v>94.8705</v>
      </c>
      <c r="D10" s="8">
        <v>94.85549999999999</v>
      </c>
      <c r="E10" s="8">
        <v>95.3755</v>
      </c>
      <c r="F10" s="8">
        <v>95.8365</v>
      </c>
      <c r="G10" s="8">
        <v>95.5785</v>
      </c>
      <c r="H10" s="8">
        <v>95.07499999999999</v>
      </c>
      <c r="I10" s="8">
        <v>95.587</v>
      </c>
      <c r="J10" s="8">
        <v>95.40299999999999</v>
      </c>
      <c r="K10" s="8">
        <v>94.7875</v>
      </c>
      <c r="L10" s="8">
        <v>95.576</v>
      </c>
      <c r="M10" s="8">
        <v>94.9225</v>
      </c>
      <c r="N10" s="8">
        <v>95.3365</v>
      </c>
      <c r="O10" s="8">
        <v>95.3315</v>
      </c>
      <c r="P10" s="8">
        <v>95.74249999999999</v>
      </c>
      <c r="Q10" s="8">
        <v>95.068</v>
      </c>
      <c r="R10" s="8">
        <v>95.29449999999999</v>
      </c>
      <c r="S10" s="8">
        <v>95.67950000000002</v>
      </c>
      <c r="T10" s="8">
        <v>95.146</v>
      </c>
      <c r="U10" s="8">
        <v>95.637</v>
      </c>
      <c r="V10" s="8">
        <v>95.03649999999999</v>
      </c>
      <c r="W10" s="8">
        <v>95.46300000000001</v>
      </c>
      <c r="X10" s="8">
        <v>95.642</v>
      </c>
      <c r="Y10" s="8">
        <v>95.3155</v>
      </c>
      <c r="Z10" s="8">
        <v>95.77050000000001</v>
      </c>
      <c r="AA10" s="8">
        <v>95.1145</v>
      </c>
      <c r="AB10" s="8">
        <v>94.948</v>
      </c>
      <c r="AC10" s="8">
        <v>95.41</v>
      </c>
      <c r="AD10" s="8">
        <v>94.8605</v>
      </c>
      <c r="AE10" s="8">
        <v>95.11500000000001</v>
      </c>
      <c r="AF10" s="8">
        <v>95.0605</v>
      </c>
      <c r="AG10" s="8">
        <v>94.7735</v>
      </c>
    </row>
    <row r="11">
      <c r="A11" s="7" t="s">
        <v>105</v>
      </c>
      <c r="B11" s="8">
        <v>95.42899999999999</v>
      </c>
      <c r="C11" s="8">
        <v>94.90050000000001</v>
      </c>
      <c r="D11" s="8">
        <v>94.8155</v>
      </c>
      <c r="E11" s="8">
        <v>95.1955</v>
      </c>
      <c r="F11" s="8">
        <v>95.5365</v>
      </c>
      <c r="G11" s="8">
        <v>95.4285</v>
      </c>
      <c r="H11" s="8">
        <v>95.16499999999999</v>
      </c>
      <c r="I11" s="8">
        <v>95.867</v>
      </c>
      <c r="J11" s="8">
        <v>95.26299999999999</v>
      </c>
      <c r="K11" s="8">
        <v>94.99749999999999</v>
      </c>
      <c r="L11" s="8">
        <v>95.29599999999999</v>
      </c>
      <c r="M11" s="8">
        <v>95.2125</v>
      </c>
      <c r="N11" s="8">
        <v>95.4165</v>
      </c>
      <c r="O11" s="8">
        <v>95.0515</v>
      </c>
      <c r="P11" s="8">
        <v>95.8025</v>
      </c>
      <c r="Q11" s="8">
        <v>95.298</v>
      </c>
      <c r="R11" s="8">
        <v>95.3145</v>
      </c>
      <c r="S11" s="8">
        <v>95.53950000000002</v>
      </c>
      <c r="T11" s="8">
        <v>94.88600000000001</v>
      </c>
      <c r="U11" s="8">
        <v>95.327</v>
      </c>
      <c r="V11" s="8">
        <v>95.3365</v>
      </c>
      <c r="W11" s="8">
        <v>95.52300000000001</v>
      </c>
      <c r="X11" s="8">
        <v>95.762</v>
      </c>
      <c r="Y11" s="8">
        <v>95.0855</v>
      </c>
      <c r="Z11" s="8">
        <v>95.55050000000001</v>
      </c>
      <c r="AA11" s="8">
        <v>95.0945</v>
      </c>
      <c r="AB11" s="8">
        <v>94.99799999999999</v>
      </c>
      <c r="AC11" s="8">
        <v>95.32</v>
      </c>
      <c r="AD11" s="8">
        <v>94.7205</v>
      </c>
      <c r="AE11" s="8">
        <v>95.245</v>
      </c>
      <c r="AF11" s="8">
        <v>95.2205</v>
      </c>
      <c r="AG11" s="8">
        <v>95.0135</v>
      </c>
    </row>
    <row r="12">
      <c r="A12" s="7" t="s">
        <v>110</v>
      </c>
      <c r="B12" s="8">
        <v>95.25899999999999</v>
      </c>
      <c r="C12" s="8">
        <v>95.1605</v>
      </c>
      <c r="D12" s="8">
        <v>94.8355</v>
      </c>
      <c r="E12" s="8">
        <v>95.10549999999999</v>
      </c>
      <c r="F12" s="8">
        <v>95.7165</v>
      </c>
      <c r="G12" s="8">
        <v>95.38850000000001</v>
      </c>
      <c r="H12" s="8">
        <v>95.10499999999999</v>
      </c>
      <c r="I12" s="8">
        <v>95.887</v>
      </c>
      <c r="J12" s="8">
        <v>95.04299999999999</v>
      </c>
      <c r="K12" s="8">
        <v>95.05749999999999</v>
      </c>
      <c r="L12" s="8">
        <v>95.466</v>
      </c>
      <c r="M12" s="8">
        <v>95.0725</v>
      </c>
      <c r="N12" s="8">
        <v>95.4565</v>
      </c>
      <c r="O12" s="8">
        <v>95.0615</v>
      </c>
      <c r="P12" s="8">
        <v>95.7825</v>
      </c>
      <c r="Q12" s="8">
        <v>95.098</v>
      </c>
      <c r="R12" s="8">
        <v>95.5045</v>
      </c>
      <c r="S12" s="8">
        <v>95.32950000000001</v>
      </c>
      <c r="T12" s="8">
        <v>95.116</v>
      </c>
      <c r="U12" s="8">
        <v>95.587</v>
      </c>
      <c r="V12" s="8">
        <v>95.0765</v>
      </c>
      <c r="W12" s="8">
        <v>95.513</v>
      </c>
      <c r="X12" s="8">
        <v>95.762</v>
      </c>
      <c r="Y12" s="8">
        <v>95.3555</v>
      </c>
      <c r="Z12" s="8">
        <v>95.77050000000001</v>
      </c>
      <c r="AA12" s="8">
        <v>95.1845</v>
      </c>
      <c r="AB12" s="8">
        <v>95.118</v>
      </c>
      <c r="AC12" s="8">
        <v>95.16999999999999</v>
      </c>
      <c r="AD12" s="8">
        <v>94.8405</v>
      </c>
      <c r="AE12" s="8">
        <v>95.185</v>
      </c>
      <c r="AF12" s="8">
        <v>95.1605</v>
      </c>
      <c r="AG12" s="8">
        <v>94.8435</v>
      </c>
    </row>
    <row r="13">
      <c r="A13" s="7" t="s">
        <v>113</v>
      </c>
      <c r="B13" s="8">
        <v>95.40899999999999</v>
      </c>
      <c r="C13" s="8">
        <v>94.9105</v>
      </c>
      <c r="D13" s="8">
        <v>94.93549999999999</v>
      </c>
      <c r="E13" s="8">
        <v>95.1355</v>
      </c>
      <c r="F13" s="8">
        <v>95.6765</v>
      </c>
      <c r="G13" s="8">
        <v>95.72850000000001</v>
      </c>
      <c r="H13" s="8">
        <v>94.925</v>
      </c>
      <c r="I13" s="8">
        <v>95.667</v>
      </c>
      <c r="J13" s="8">
        <v>95.04299999999999</v>
      </c>
      <c r="K13" s="8">
        <v>94.74749999999999</v>
      </c>
      <c r="L13" s="8">
        <v>95.65599999999999</v>
      </c>
      <c r="M13" s="8">
        <v>95.0425</v>
      </c>
      <c r="N13" s="8">
        <v>95.37650000000001</v>
      </c>
      <c r="O13" s="8">
        <v>95.3015</v>
      </c>
      <c r="P13" s="8">
        <v>95.5225</v>
      </c>
      <c r="Q13" s="8">
        <v>95.018</v>
      </c>
      <c r="R13" s="8">
        <v>95.29449999999999</v>
      </c>
      <c r="S13" s="8">
        <v>95.41950000000001</v>
      </c>
      <c r="T13" s="8">
        <v>95.056</v>
      </c>
      <c r="U13" s="8">
        <v>95.667</v>
      </c>
      <c r="V13" s="8">
        <v>95.1665</v>
      </c>
      <c r="W13" s="8">
        <v>95.32300000000001</v>
      </c>
      <c r="X13" s="8">
        <v>95.72200000000001</v>
      </c>
      <c r="Y13" s="8">
        <v>95.1255</v>
      </c>
      <c r="Z13" s="8">
        <v>95.7505</v>
      </c>
      <c r="AA13" s="8">
        <v>95.1945</v>
      </c>
      <c r="AB13" s="8">
        <v>95.118</v>
      </c>
      <c r="AC13" s="8">
        <v>95.42999999999999</v>
      </c>
      <c r="AD13" s="8">
        <v>94.8505</v>
      </c>
      <c r="AE13" s="8">
        <v>95.305</v>
      </c>
      <c r="AF13" s="8">
        <v>95.0705</v>
      </c>
      <c r="AG13" s="8">
        <v>95.0035</v>
      </c>
    </row>
    <row r="14">
      <c r="A14" s="7" t="s">
        <v>114</v>
      </c>
      <c r="B14" s="8">
        <v>95.45899999999999</v>
      </c>
      <c r="C14" s="8">
        <v>95.1405</v>
      </c>
      <c r="D14" s="8">
        <v>94.9455</v>
      </c>
      <c r="E14" s="8">
        <v>95.1255</v>
      </c>
      <c r="F14" s="8">
        <v>95.5565</v>
      </c>
      <c r="G14" s="8">
        <v>95.7385</v>
      </c>
      <c r="H14" s="8">
        <v>94.85499999999999</v>
      </c>
      <c r="I14" s="8">
        <v>95.777</v>
      </c>
      <c r="J14" s="8">
        <v>95.393</v>
      </c>
      <c r="K14" s="8">
        <v>95.10749999999999</v>
      </c>
      <c r="L14" s="8">
        <v>95.556</v>
      </c>
      <c r="M14" s="8">
        <v>95.1625</v>
      </c>
      <c r="N14" s="8">
        <v>95.54650000000001</v>
      </c>
      <c r="O14" s="8">
        <v>95.0715</v>
      </c>
      <c r="P14" s="8">
        <v>95.74249999999999</v>
      </c>
      <c r="Q14" s="8">
        <v>94.97800000000001</v>
      </c>
      <c r="R14" s="8">
        <v>95.54449999999999</v>
      </c>
      <c r="S14" s="8">
        <v>95.69950000000001</v>
      </c>
      <c r="T14" s="8">
        <v>94.766</v>
      </c>
      <c r="U14" s="8">
        <v>95.407</v>
      </c>
      <c r="V14" s="8">
        <v>95.2665</v>
      </c>
      <c r="W14" s="8">
        <v>95.193</v>
      </c>
      <c r="X14" s="8">
        <v>95.532</v>
      </c>
      <c r="Y14" s="8">
        <v>95.3455</v>
      </c>
      <c r="Z14" s="8">
        <v>95.4505</v>
      </c>
      <c r="AA14" s="8">
        <v>95.3545</v>
      </c>
      <c r="AB14" s="8">
        <v>94.838</v>
      </c>
      <c r="AC14" s="8">
        <v>95.38</v>
      </c>
      <c r="AD14" s="8">
        <v>94.8805</v>
      </c>
      <c r="AE14" s="8">
        <v>95.495</v>
      </c>
      <c r="AF14" s="8">
        <v>95.1405</v>
      </c>
      <c r="AG14" s="8">
        <v>94.8135</v>
      </c>
    </row>
    <row r="15">
      <c r="A15" s="7" t="s">
        <v>116</v>
      </c>
      <c r="B15" s="8">
        <v>95.23899999999999</v>
      </c>
      <c r="C15" s="8">
        <v>95.2205</v>
      </c>
      <c r="D15" s="8">
        <v>95.07549999999999</v>
      </c>
      <c r="E15" s="8">
        <v>95.07549999999999</v>
      </c>
      <c r="F15" s="8">
        <v>95.6565</v>
      </c>
      <c r="G15" s="8">
        <v>95.69850000000001</v>
      </c>
      <c r="H15" s="8">
        <v>95.035</v>
      </c>
      <c r="I15" s="8">
        <v>95.757</v>
      </c>
      <c r="J15" s="8">
        <v>95.18299999999999</v>
      </c>
      <c r="K15" s="8">
        <v>95.08749999999999</v>
      </c>
      <c r="L15" s="8">
        <v>95.29599999999999</v>
      </c>
      <c r="M15" s="8">
        <v>95.1725</v>
      </c>
      <c r="N15" s="8">
        <v>95.35650000000001</v>
      </c>
      <c r="O15" s="8">
        <v>95.0415</v>
      </c>
      <c r="P15" s="8">
        <v>95.7225</v>
      </c>
      <c r="Q15" s="8">
        <v>95.22800000000001</v>
      </c>
      <c r="R15" s="8">
        <v>95.32449999999999</v>
      </c>
      <c r="S15" s="8">
        <v>95.45950000000002</v>
      </c>
      <c r="T15" s="8">
        <v>94.766</v>
      </c>
      <c r="U15" s="8">
        <v>95.367</v>
      </c>
      <c r="V15" s="8">
        <v>95.1165</v>
      </c>
      <c r="W15" s="8">
        <v>95.263</v>
      </c>
      <c r="X15" s="8">
        <v>95.782</v>
      </c>
      <c r="Y15" s="8">
        <v>95.0155</v>
      </c>
      <c r="Z15" s="8">
        <v>95.79050000000001</v>
      </c>
      <c r="AA15" s="8">
        <v>95.1345</v>
      </c>
      <c r="AB15" s="8">
        <v>94.988</v>
      </c>
      <c r="AC15" s="8">
        <v>95.53</v>
      </c>
      <c r="AD15" s="8">
        <v>94.9405</v>
      </c>
      <c r="AE15" s="8">
        <v>95.165</v>
      </c>
      <c r="AF15" s="8">
        <v>95.0105</v>
      </c>
      <c r="AG15" s="8">
        <v>94.7435</v>
      </c>
    </row>
    <row r="16">
      <c r="A16" s="7" t="s">
        <v>126</v>
      </c>
      <c r="B16" s="8">
        <v>95.62899999999999</v>
      </c>
      <c r="C16" s="8">
        <v>95.2005</v>
      </c>
      <c r="D16" s="8">
        <v>94.9555</v>
      </c>
      <c r="E16" s="8">
        <v>95.26549999999999</v>
      </c>
      <c r="F16" s="8">
        <v>95.5465</v>
      </c>
      <c r="G16" s="8">
        <v>95.69850000000001</v>
      </c>
      <c r="H16" s="8">
        <v>94.955</v>
      </c>
      <c r="I16" s="8">
        <v>95.927</v>
      </c>
      <c r="J16" s="8">
        <v>95.18299999999999</v>
      </c>
      <c r="K16" s="8">
        <v>94.97749999999999</v>
      </c>
      <c r="L16" s="8">
        <v>95.306</v>
      </c>
      <c r="M16" s="8">
        <v>95.1225</v>
      </c>
      <c r="N16" s="8">
        <v>95.4565</v>
      </c>
      <c r="O16" s="8">
        <v>95.0315</v>
      </c>
      <c r="P16" s="8">
        <v>95.5225</v>
      </c>
      <c r="Q16" s="8">
        <v>95.158</v>
      </c>
      <c r="R16" s="8">
        <v>95.3445</v>
      </c>
      <c r="S16" s="8">
        <v>95.46950000000001</v>
      </c>
      <c r="T16" s="8">
        <v>94.786</v>
      </c>
      <c r="U16" s="8">
        <v>95.317</v>
      </c>
      <c r="V16" s="8">
        <v>95.28649999999999</v>
      </c>
      <c r="W16" s="8">
        <v>95.52300000000001</v>
      </c>
      <c r="X16" s="8">
        <v>95.632</v>
      </c>
      <c r="Y16" s="8">
        <v>95.3555</v>
      </c>
      <c r="Z16" s="8">
        <v>95.6105</v>
      </c>
      <c r="AA16" s="8">
        <v>95.0645</v>
      </c>
      <c r="AB16" s="8">
        <v>95.098</v>
      </c>
      <c r="AC16" s="8">
        <v>95.32</v>
      </c>
      <c r="AD16" s="8">
        <v>94.8605</v>
      </c>
      <c r="AE16" s="8">
        <v>95.14500000000001</v>
      </c>
      <c r="AF16" s="8">
        <v>95.1205</v>
      </c>
      <c r="AG16" s="8">
        <v>95.0635</v>
      </c>
    </row>
    <row r="17">
      <c r="A17" s="7" t="s">
        <v>139</v>
      </c>
      <c r="B17" s="8">
        <v>95.189</v>
      </c>
      <c r="C17" s="8">
        <v>94.6705</v>
      </c>
      <c r="D17" s="8">
        <v>94.6555</v>
      </c>
      <c r="E17" s="8">
        <v>94.9455</v>
      </c>
      <c r="F17" s="8">
        <v>95.3865</v>
      </c>
      <c r="G17" s="8">
        <v>95.26850000000002</v>
      </c>
      <c r="H17" s="8">
        <v>94.795</v>
      </c>
      <c r="I17" s="8">
        <v>95.587</v>
      </c>
      <c r="J17" s="8">
        <v>95.023</v>
      </c>
      <c r="K17" s="8">
        <v>94.6775</v>
      </c>
      <c r="L17" s="8">
        <v>95.066</v>
      </c>
      <c r="M17" s="8">
        <v>94.9825</v>
      </c>
      <c r="N17" s="8">
        <v>95.11650000000002</v>
      </c>
      <c r="O17" s="8">
        <v>95.03150000000001</v>
      </c>
      <c r="P17" s="8">
        <v>95.3625</v>
      </c>
      <c r="Q17" s="8">
        <v>94.94800000000001</v>
      </c>
      <c r="R17" s="8">
        <v>95.1045</v>
      </c>
      <c r="S17" s="8">
        <v>95.45950000000002</v>
      </c>
      <c r="T17" s="8">
        <v>94.91600000000001</v>
      </c>
      <c r="U17" s="8">
        <v>95.197</v>
      </c>
      <c r="V17" s="8">
        <v>94.7865</v>
      </c>
      <c r="W17" s="8">
        <v>94.94300000000001</v>
      </c>
      <c r="X17" s="8">
        <v>95.512</v>
      </c>
      <c r="Y17" s="8">
        <v>95.0355</v>
      </c>
      <c r="Z17" s="8">
        <v>95.41050000000001</v>
      </c>
      <c r="AA17" s="8">
        <v>94.84450000000001</v>
      </c>
      <c r="AB17" s="8">
        <v>94.818</v>
      </c>
      <c r="AC17" s="8">
        <v>95.05</v>
      </c>
      <c r="AD17" s="8">
        <v>94.54050000000001</v>
      </c>
      <c r="AE17" s="8">
        <v>95.23500000000001</v>
      </c>
      <c r="AF17" s="8">
        <v>95.0505</v>
      </c>
      <c r="AG17" s="8">
        <v>94.7235</v>
      </c>
    </row>
    <row r="18">
      <c r="A18" s="7" t="s">
        <v>140</v>
      </c>
      <c r="B18" s="8">
        <v>95.279</v>
      </c>
      <c r="C18" s="8">
        <v>95.0005</v>
      </c>
      <c r="D18" s="8">
        <v>95.0555</v>
      </c>
      <c r="E18" s="8">
        <v>95.3655</v>
      </c>
      <c r="F18" s="8">
        <v>95.8065</v>
      </c>
      <c r="G18" s="8">
        <v>95.41850000000001</v>
      </c>
      <c r="H18" s="8">
        <v>94.945</v>
      </c>
      <c r="I18" s="8">
        <v>95.667</v>
      </c>
      <c r="J18" s="8">
        <v>95.04299999999999</v>
      </c>
      <c r="K18" s="8">
        <v>94.8475</v>
      </c>
      <c r="L18" s="8">
        <v>95.336</v>
      </c>
      <c r="M18" s="8">
        <v>95.2225</v>
      </c>
      <c r="N18" s="8">
        <v>95.2465</v>
      </c>
      <c r="O18" s="8">
        <v>95.0615</v>
      </c>
      <c r="P18" s="8">
        <v>95.4725</v>
      </c>
      <c r="Q18" s="8">
        <v>95.268</v>
      </c>
      <c r="R18" s="8">
        <v>95.58449999999999</v>
      </c>
      <c r="S18" s="8">
        <v>95.43950000000001</v>
      </c>
      <c r="T18" s="8">
        <v>94.786</v>
      </c>
      <c r="U18" s="8">
        <v>95.347</v>
      </c>
      <c r="V18" s="8">
        <v>95.1365</v>
      </c>
      <c r="W18" s="8">
        <v>95.49300000000001</v>
      </c>
      <c r="X18" s="8">
        <v>95.732</v>
      </c>
      <c r="Y18" s="8">
        <v>95.2855</v>
      </c>
      <c r="Z18" s="8">
        <v>95.77050000000001</v>
      </c>
      <c r="AA18" s="8">
        <v>95.3645</v>
      </c>
      <c r="AB18" s="8">
        <v>95.10799999999999</v>
      </c>
      <c r="AC18" s="8">
        <v>95.22</v>
      </c>
      <c r="AD18" s="8">
        <v>95.0005</v>
      </c>
      <c r="AE18" s="8">
        <v>95.465</v>
      </c>
      <c r="AF18" s="8">
        <v>95.3105</v>
      </c>
      <c r="AG18" s="8">
        <v>95.1435</v>
      </c>
    </row>
    <row r="19">
      <c r="A19" s="7" t="s">
        <v>141</v>
      </c>
      <c r="B19" s="8">
        <v>95.579</v>
      </c>
      <c r="C19" s="8">
        <v>94.9905</v>
      </c>
      <c r="D19" s="8">
        <v>94.76549999999999</v>
      </c>
      <c r="E19" s="8">
        <v>95.0855</v>
      </c>
      <c r="F19" s="8">
        <v>95.48649999999999</v>
      </c>
      <c r="G19" s="8">
        <v>95.7085</v>
      </c>
      <c r="H19" s="8">
        <v>95.15499999999999</v>
      </c>
      <c r="I19" s="8">
        <v>95.747</v>
      </c>
      <c r="J19" s="8">
        <v>95.213</v>
      </c>
      <c r="K19" s="8">
        <v>95.08749999999999</v>
      </c>
      <c r="L19" s="8">
        <v>95.506</v>
      </c>
      <c r="M19" s="8">
        <v>94.8925</v>
      </c>
      <c r="N19" s="8">
        <v>95.2565</v>
      </c>
      <c r="O19" s="8">
        <v>95.1315</v>
      </c>
      <c r="P19" s="8">
        <v>95.46249999999999</v>
      </c>
      <c r="Q19" s="8">
        <v>95.08800000000001</v>
      </c>
      <c r="R19" s="8">
        <v>95.47449999999999</v>
      </c>
      <c r="S19" s="8">
        <v>95.72950000000002</v>
      </c>
      <c r="T19" s="8">
        <v>94.776</v>
      </c>
      <c r="U19" s="8">
        <v>95.307</v>
      </c>
      <c r="V19" s="8">
        <v>95.1165</v>
      </c>
      <c r="W19" s="8">
        <v>95.55300000000001</v>
      </c>
      <c r="X19" s="8">
        <v>95.712</v>
      </c>
      <c r="Y19" s="8">
        <v>95.2055</v>
      </c>
      <c r="Z19" s="8">
        <v>95.7805</v>
      </c>
      <c r="AA19" s="8">
        <v>95.0945</v>
      </c>
      <c r="AB19" s="8">
        <v>95.118</v>
      </c>
      <c r="AC19" s="8">
        <v>95.19999999999999</v>
      </c>
      <c r="AD19" s="8">
        <v>94.7105</v>
      </c>
      <c r="AE19" s="8">
        <v>95.47500000000001</v>
      </c>
      <c r="AF19" s="8">
        <v>95.2305</v>
      </c>
      <c r="AG19" s="8">
        <v>95.1435</v>
      </c>
    </row>
    <row r="20">
      <c r="A20" s="7" t="s">
        <v>142</v>
      </c>
      <c r="B20" s="8">
        <v>95.26899999999999</v>
      </c>
      <c r="C20" s="8">
        <v>95.0305</v>
      </c>
      <c r="D20" s="8">
        <v>94.7755</v>
      </c>
      <c r="E20" s="8">
        <v>95.1155</v>
      </c>
      <c r="F20" s="8">
        <v>95.5665</v>
      </c>
      <c r="G20" s="8">
        <v>95.7085</v>
      </c>
      <c r="H20" s="8">
        <v>95.16499999999999</v>
      </c>
      <c r="I20" s="8">
        <v>95.787</v>
      </c>
      <c r="J20" s="8">
        <v>95.053</v>
      </c>
      <c r="K20" s="8">
        <v>95.08749999999999</v>
      </c>
      <c r="L20" s="8">
        <v>95.666</v>
      </c>
      <c r="M20" s="8">
        <v>94.9225</v>
      </c>
      <c r="N20" s="8">
        <v>95.5865</v>
      </c>
      <c r="O20" s="8">
        <v>94.9615</v>
      </c>
      <c r="P20" s="8">
        <v>95.74249999999999</v>
      </c>
      <c r="Q20" s="8">
        <v>94.988</v>
      </c>
      <c r="R20" s="8">
        <v>95.44449999999999</v>
      </c>
      <c r="S20" s="8">
        <v>95.32950000000001</v>
      </c>
      <c r="T20" s="8">
        <v>94.96600000000001</v>
      </c>
      <c r="U20" s="8">
        <v>95.687</v>
      </c>
      <c r="V20" s="8">
        <v>95.34649999999999</v>
      </c>
      <c r="W20" s="8">
        <v>95.35300000000001</v>
      </c>
      <c r="X20" s="8">
        <v>95.512</v>
      </c>
      <c r="Y20" s="8">
        <v>95.1455</v>
      </c>
      <c r="Z20" s="8">
        <v>95.4205</v>
      </c>
      <c r="AA20" s="8">
        <v>95.3445</v>
      </c>
      <c r="AB20" s="8">
        <v>94.898</v>
      </c>
      <c r="AC20" s="8">
        <v>95.16</v>
      </c>
      <c r="AD20" s="8">
        <v>94.8705</v>
      </c>
      <c r="AE20" s="8">
        <v>95.165</v>
      </c>
      <c r="AF20" s="8">
        <v>95.1805</v>
      </c>
      <c r="AG20" s="8">
        <v>94.9535</v>
      </c>
    </row>
    <row r="21" ht="15.75" customHeight="1">
      <c r="A21" s="7" t="s">
        <v>144</v>
      </c>
      <c r="B21" s="8">
        <v>95.48899999999999</v>
      </c>
      <c r="C21" s="8">
        <v>95.0305</v>
      </c>
      <c r="D21" s="8">
        <v>94.8155</v>
      </c>
      <c r="E21" s="8">
        <v>95.0955</v>
      </c>
      <c r="F21" s="8">
        <v>95.70649999999999</v>
      </c>
      <c r="G21" s="8">
        <v>95.7385</v>
      </c>
      <c r="H21" s="8">
        <v>95.225</v>
      </c>
      <c r="I21" s="8">
        <v>95.657</v>
      </c>
      <c r="J21" s="8">
        <v>95.323</v>
      </c>
      <c r="K21" s="8">
        <v>95.0975</v>
      </c>
      <c r="L21" s="8">
        <v>95.366</v>
      </c>
      <c r="M21" s="8">
        <v>95.0225</v>
      </c>
      <c r="N21" s="8">
        <v>95.26650000000001</v>
      </c>
      <c r="O21" s="8">
        <v>95.3215</v>
      </c>
      <c r="P21" s="8">
        <v>95.54249999999999</v>
      </c>
      <c r="Q21" s="8">
        <v>95.238</v>
      </c>
      <c r="R21" s="8">
        <v>95.30449999999999</v>
      </c>
      <c r="S21" s="8">
        <v>95.53950000000002</v>
      </c>
      <c r="T21" s="8">
        <v>94.85600000000001</v>
      </c>
      <c r="U21" s="8">
        <v>95.447</v>
      </c>
      <c r="V21" s="8">
        <v>95.0165</v>
      </c>
      <c r="W21" s="8">
        <v>95.183</v>
      </c>
      <c r="X21" s="8">
        <v>95.752</v>
      </c>
      <c r="Y21" s="8">
        <v>95.0955</v>
      </c>
      <c r="Z21" s="8">
        <v>95.54050000000001</v>
      </c>
      <c r="AA21" s="8">
        <v>95.3145</v>
      </c>
      <c r="AB21" s="8">
        <v>94.818</v>
      </c>
      <c r="AC21" s="8">
        <v>95.42999999999999</v>
      </c>
      <c r="AD21" s="8">
        <v>94.9905</v>
      </c>
      <c r="AE21" s="8">
        <v>95.28500000000001</v>
      </c>
      <c r="AF21" s="8">
        <v>95.3805</v>
      </c>
      <c r="AG21" s="8">
        <v>95.0035</v>
      </c>
    </row>
    <row r="22" ht="15.75" customHeight="1">
      <c r="A22" s="7" t="s">
        <v>146</v>
      </c>
      <c r="B22" s="8">
        <v>95.579</v>
      </c>
      <c r="C22" s="8">
        <v>95.2305</v>
      </c>
      <c r="D22" s="8">
        <v>95.0955</v>
      </c>
      <c r="E22" s="8">
        <v>95.3355</v>
      </c>
      <c r="F22" s="8">
        <v>95.6465</v>
      </c>
      <c r="G22" s="8">
        <v>95.5685</v>
      </c>
      <c r="H22" s="8">
        <v>94.84499999999998</v>
      </c>
      <c r="I22" s="8">
        <v>95.907</v>
      </c>
      <c r="J22" s="8">
        <v>95.073</v>
      </c>
      <c r="K22" s="8">
        <v>94.8775</v>
      </c>
      <c r="L22" s="8">
        <v>95.68599999999999</v>
      </c>
      <c r="M22" s="8">
        <v>94.9625</v>
      </c>
      <c r="N22" s="8">
        <v>95.3465</v>
      </c>
      <c r="O22" s="8">
        <v>95.11149999999999</v>
      </c>
      <c r="P22" s="8">
        <v>95.6625</v>
      </c>
      <c r="Q22" s="8">
        <v>95.28800000000001</v>
      </c>
      <c r="R22" s="8">
        <v>95.52449999999999</v>
      </c>
      <c r="S22" s="8">
        <v>95.50950000000002</v>
      </c>
      <c r="T22" s="8">
        <v>94.766</v>
      </c>
      <c r="U22" s="8">
        <v>95.637</v>
      </c>
      <c r="V22" s="8">
        <v>95.1265</v>
      </c>
      <c r="W22" s="8">
        <v>95.433</v>
      </c>
      <c r="X22" s="8">
        <v>95.662</v>
      </c>
      <c r="Y22" s="8">
        <v>95.0855</v>
      </c>
      <c r="Z22" s="8">
        <v>95.71050000000001</v>
      </c>
      <c r="AA22" s="8">
        <v>95.2945</v>
      </c>
      <c r="AB22" s="8">
        <v>94.77799999999999</v>
      </c>
      <c r="AC22" s="8">
        <v>95.55</v>
      </c>
      <c r="AD22" s="8">
        <v>94.76050000000001</v>
      </c>
      <c r="AE22" s="8">
        <v>95.31500000000001</v>
      </c>
      <c r="AF22" s="8">
        <v>95.2905</v>
      </c>
      <c r="AG22" s="8">
        <v>95.1435</v>
      </c>
    </row>
    <row r="23" ht="15.75" customHeight="1">
      <c r="A23" s="7" t="s">
        <v>147</v>
      </c>
      <c r="B23" s="8">
        <v>95.62899999999999</v>
      </c>
      <c r="C23" s="8">
        <v>94.90050000000001</v>
      </c>
      <c r="D23" s="8">
        <v>94.8155</v>
      </c>
      <c r="E23" s="8">
        <v>95.1455</v>
      </c>
      <c r="F23" s="8">
        <v>95.5065</v>
      </c>
      <c r="G23" s="8">
        <v>95.4885</v>
      </c>
      <c r="H23" s="8">
        <v>94.93499999999999</v>
      </c>
      <c r="I23" s="8">
        <v>95.807</v>
      </c>
      <c r="J23" s="8">
        <v>95.383</v>
      </c>
      <c r="K23" s="8">
        <v>94.86749999999999</v>
      </c>
      <c r="L23" s="8">
        <v>95.496</v>
      </c>
      <c r="M23" s="8">
        <v>95.2125</v>
      </c>
      <c r="N23" s="8">
        <v>95.32650000000001</v>
      </c>
      <c r="O23" s="8">
        <v>95.1815</v>
      </c>
      <c r="P23" s="8">
        <v>95.6625</v>
      </c>
      <c r="Q23" s="8">
        <v>94.918</v>
      </c>
      <c r="R23" s="8">
        <v>95.4545</v>
      </c>
      <c r="S23" s="8">
        <v>95.3495</v>
      </c>
      <c r="T23" s="8">
        <v>94.786</v>
      </c>
      <c r="U23" s="8">
        <v>95.677</v>
      </c>
      <c r="V23" s="8">
        <v>95.20649999999999</v>
      </c>
      <c r="W23" s="8">
        <v>95.32300000000001</v>
      </c>
      <c r="X23" s="8">
        <v>95.872</v>
      </c>
      <c r="Y23" s="8">
        <v>95.2355</v>
      </c>
      <c r="Z23" s="8">
        <v>95.46050000000001</v>
      </c>
      <c r="AA23" s="8">
        <v>95.1645</v>
      </c>
      <c r="AB23" s="8">
        <v>94.96799999999999</v>
      </c>
      <c r="AC23" s="8">
        <v>95.16</v>
      </c>
      <c r="AD23" s="8">
        <v>94.8305</v>
      </c>
      <c r="AE23" s="8">
        <v>95.42500000000001</v>
      </c>
      <c r="AF23" s="8">
        <v>95.3205</v>
      </c>
      <c r="AG23" s="8">
        <v>94.7635</v>
      </c>
    </row>
    <row r="24" ht="15.75" customHeight="1">
      <c r="A24" s="7" t="s">
        <v>148</v>
      </c>
      <c r="B24" s="8">
        <v>95.499</v>
      </c>
      <c r="C24" s="8">
        <v>95.2205</v>
      </c>
      <c r="D24" s="8">
        <v>94.8855</v>
      </c>
      <c r="E24" s="8">
        <v>95.10549999999999</v>
      </c>
      <c r="F24" s="8">
        <v>95.59649999999999</v>
      </c>
      <c r="G24" s="8">
        <v>95.50850000000001</v>
      </c>
      <c r="H24" s="8">
        <v>94.925</v>
      </c>
      <c r="I24" s="8">
        <v>95.597</v>
      </c>
      <c r="J24" s="8">
        <v>95.273</v>
      </c>
      <c r="K24" s="8">
        <v>94.90749999999998</v>
      </c>
      <c r="L24" s="8">
        <v>95.34599999999999</v>
      </c>
      <c r="M24" s="8">
        <v>95.0825</v>
      </c>
      <c r="N24" s="8">
        <v>95.2865</v>
      </c>
      <c r="O24" s="8">
        <v>95.1315</v>
      </c>
      <c r="P24" s="8">
        <v>95.74249999999999</v>
      </c>
      <c r="Q24" s="8">
        <v>94.938</v>
      </c>
      <c r="R24" s="8">
        <v>95.4545</v>
      </c>
      <c r="S24" s="8">
        <v>95.37950000000001</v>
      </c>
      <c r="T24" s="8">
        <v>95.116</v>
      </c>
      <c r="U24" s="8">
        <v>95.397</v>
      </c>
      <c r="V24" s="8">
        <v>95.2665</v>
      </c>
      <c r="W24" s="8">
        <v>95.473</v>
      </c>
      <c r="X24" s="8">
        <v>95.72200000000001</v>
      </c>
      <c r="Y24" s="8">
        <v>95.1855</v>
      </c>
      <c r="Z24" s="8">
        <v>95.65050000000001</v>
      </c>
      <c r="AA24" s="8">
        <v>95.0145</v>
      </c>
      <c r="AB24" s="8">
        <v>94.958</v>
      </c>
      <c r="AC24" s="8">
        <v>95.41999999999999</v>
      </c>
      <c r="AD24" s="8">
        <v>94.9705</v>
      </c>
      <c r="AE24" s="8">
        <v>95.42500000000001</v>
      </c>
      <c r="AF24" s="8">
        <v>95.3705</v>
      </c>
      <c r="AG24" s="8">
        <v>94.9935</v>
      </c>
    </row>
    <row r="25" ht="15.75" customHeight="1">
      <c r="A25" s="7" t="s">
        <v>149</v>
      </c>
      <c r="B25" s="8">
        <v>95.529</v>
      </c>
      <c r="C25" s="8">
        <v>94.8705</v>
      </c>
      <c r="D25" s="8">
        <v>95.1355</v>
      </c>
      <c r="E25" s="8">
        <v>94.99549999999999</v>
      </c>
      <c r="F25" s="8">
        <v>95.5365</v>
      </c>
      <c r="G25" s="8">
        <v>95.50850000000001</v>
      </c>
      <c r="H25" s="8">
        <v>95.04499999999999</v>
      </c>
      <c r="I25" s="8">
        <v>95.887</v>
      </c>
      <c r="J25" s="8">
        <v>95.383</v>
      </c>
      <c r="K25" s="8">
        <v>94.8775</v>
      </c>
      <c r="L25" s="8">
        <v>95.386</v>
      </c>
      <c r="M25" s="8">
        <v>95.1225</v>
      </c>
      <c r="N25" s="8">
        <v>95.5665</v>
      </c>
      <c r="O25" s="8">
        <v>94.97149999999999</v>
      </c>
      <c r="P25" s="8">
        <v>95.49249999999999</v>
      </c>
      <c r="Q25" s="8">
        <v>94.928</v>
      </c>
      <c r="R25" s="8">
        <v>95.41449999999999</v>
      </c>
      <c r="S25" s="8">
        <v>95.70950000000002</v>
      </c>
      <c r="T25" s="8">
        <v>94.926</v>
      </c>
      <c r="U25" s="8">
        <v>95.297</v>
      </c>
      <c r="V25" s="8">
        <v>95.17649999999999</v>
      </c>
      <c r="W25" s="8">
        <v>95.52300000000001</v>
      </c>
      <c r="X25" s="8">
        <v>95.522</v>
      </c>
      <c r="Y25" s="8">
        <v>95.0155</v>
      </c>
      <c r="Z25" s="8">
        <v>95.51050000000001</v>
      </c>
      <c r="AA25" s="8">
        <v>95.2845</v>
      </c>
      <c r="AB25" s="8">
        <v>94.74799999999999</v>
      </c>
      <c r="AC25" s="8">
        <v>95.27</v>
      </c>
      <c r="AD25" s="8">
        <v>94.9405</v>
      </c>
      <c r="AE25" s="8">
        <v>95.47500000000001</v>
      </c>
      <c r="AF25" s="8">
        <v>95.1605</v>
      </c>
      <c r="AG25" s="8">
        <v>94.9635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0"/>
    <col customWidth="1" min="2" max="33" width="10.0"/>
  </cols>
  <sheetData>
    <row r="1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  <c r="AG1" s="6" t="s">
        <v>55</v>
      </c>
    </row>
    <row r="2">
      <c r="A2" s="7" t="s">
        <v>56</v>
      </c>
      <c r="B2" s="8">
        <v>97.1525</v>
      </c>
      <c r="C2" s="8">
        <v>97.10050000000001</v>
      </c>
      <c r="D2" s="8">
        <v>96.992</v>
      </c>
      <c r="E2" s="8">
        <v>97.17750000000001</v>
      </c>
      <c r="F2" s="8">
        <v>97.3595</v>
      </c>
      <c r="G2" s="8">
        <v>97.0515</v>
      </c>
      <c r="H2" s="8">
        <v>96.995</v>
      </c>
      <c r="I2" s="8">
        <v>97.232</v>
      </c>
      <c r="J2" s="8">
        <v>97.10950000000001</v>
      </c>
      <c r="K2" s="8">
        <v>96.83099999999999</v>
      </c>
      <c r="L2" s="8">
        <v>97.1885</v>
      </c>
      <c r="M2" s="8">
        <v>97.18599999999999</v>
      </c>
      <c r="N2" s="8">
        <v>97.09100000000001</v>
      </c>
      <c r="O2" s="8">
        <v>96.898</v>
      </c>
      <c r="P2" s="8">
        <v>97.19250000000001</v>
      </c>
      <c r="Q2" s="8">
        <v>97.017</v>
      </c>
      <c r="R2" s="8">
        <v>96.991</v>
      </c>
      <c r="S2" s="8">
        <v>97.1825</v>
      </c>
      <c r="T2" s="8">
        <v>97.067</v>
      </c>
      <c r="U2" s="8">
        <v>97.3225</v>
      </c>
      <c r="V2" s="8">
        <v>96.9655</v>
      </c>
      <c r="W2" s="8">
        <v>97.2845</v>
      </c>
      <c r="X2" s="8">
        <v>97.3725</v>
      </c>
      <c r="Y2" s="8">
        <v>97.1565</v>
      </c>
      <c r="Z2" s="8">
        <v>97.3485</v>
      </c>
      <c r="AA2" s="8">
        <v>97.14</v>
      </c>
      <c r="AB2" s="8">
        <v>97.0365</v>
      </c>
      <c r="AC2" s="8">
        <v>96.916</v>
      </c>
      <c r="AD2" s="8">
        <v>96.838</v>
      </c>
      <c r="AE2" s="8">
        <v>97.158</v>
      </c>
      <c r="AF2" s="8">
        <v>97.254</v>
      </c>
      <c r="AG2" s="8">
        <v>96.9355</v>
      </c>
    </row>
    <row r="3">
      <c r="A3" s="7" t="s">
        <v>58</v>
      </c>
      <c r="B3" s="8">
        <v>97.0525</v>
      </c>
      <c r="C3" s="8">
        <v>96.8405</v>
      </c>
      <c r="D3" s="8">
        <v>96.802</v>
      </c>
      <c r="E3" s="8">
        <v>97.1575</v>
      </c>
      <c r="F3" s="8">
        <v>97.1595</v>
      </c>
      <c r="G3" s="8">
        <v>97.2215</v>
      </c>
      <c r="H3" s="8">
        <v>96.935</v>
      </c>
      <c r="I3" s="8">
        <v>97.35199999999999</v>
      </c>
      <c r="J3" s="8">
        <v>96.99950000000001</v>
      </c>
      <c r="K3" s="8">
        <v>97.11099999999999</v>
      </c>
      <c r="L3" s="8">
        <v>97.3585</v>
      </c>
      <c r="M3" s="8">
        <v>96.956</v>
      </c>
      <c r="N3" s="8">
        <v>97.171</v>
      </c>
      <c r="O3" s="8">
        <v>97.218</v>
      </c>
      <c r="P3" s="8">
        <v>97.36250000000001</v>
      </c>
      <c r="Q3" s="8">
        <v>96.947</v>
      </c>
      <c r="R3" s="8">
        <v>97.101</v>
      </c>
      <c r="S3" s="8">
        <v>97.27250000000001</v>
      </c>
      <c r="T3" s="8">
        <v>96.927</v>
      </c>
      <c r="U3" s="8">
        <v>96.9825</v>
      </c>
      <c r="V3" s="8">
        <v>97.1255</v>
      </c>
      <c r="W3" s="8">
        <v>97.3245</v>
      </c>
      <c r="X3" s="8">
        <v>97.3125</v>
      </c>
      <c r="Y3" s="8">
        <v>96.98649999999999</v>
      </c>
      <c r="Z3" s="8">
        <v>97.38850000000001</v>
      </c>
      <c r="AA3" s="8">
        <v>97.03</v>
      </c>
      <c r="AB3" s="8">
        <v>97.04650000000001</v>
      </c>
      <c r="AC3" s="8">
        <v>97.306</v>
      </c>
      <c r="AD3" s="8">
        <v>96.80799999999999</v>
      </c>
      <c r="AE3" s="8">
        <v>97.228</v>
      </c>
      <c r="AF3" s="8">
        <v>97.214</v>
      </c>
      <c r="AG3" s="8">
        <v>96.9555</v>
      </c>
    </row>
    <row r="4">
      <c r="A4" s="7" t="s">
        <v>65</v>
      </c>
      <c r="B4" s="8">
        <v>97.1525</v>
      </c>
      <c r="C4" s="8">
        <v>96.8605</v>
      </c>
      <c r="D4" s="8">
        <v>96.92200000000001</v>
      </c>
      <c r="E4" s="8">
        <v>97.03750000000001</v>
      </c>
      <c r="F4" s="8">
        <v>97.34949999999999</v>
      </c>
      <c r="G4" s="8">
        <v>97.0215</v>
      </c>
      <c r="H4" s="8">
        <v>97.055</v>
      </c>
      <c r="I4" s="8">
        <v>97.192</v>
      </c>
      <c r="J4" s="8">
        <v>96.97950000000002</v>
      </c>
      <c r="K4" s="8">
        <v>97.17099999999999</v>
      </c>
      <c r="L4" s="8">
        <v>97.1785</v>
      </c>
      <c r="M4" s="8">
        <v>97.196</v>
      </c>
      <c r="N4" s="8">
        <v>97.321</v>
      </c>
      <c r="O4" s="8">
        <v>97.078</v>
      </c>
      <c r="P4" s="8">
        <v>97.36250000000001</v>
      </c>
      <c r="Q4" s="8">
        <v>97.23700000000001</v>
      </c>
      <c r="R4" s="8">
        <v>97.151</v>
      </c>
      <c r="S4" s="8">
        <v>97.2425</v>
      </c>
      <c r="T4" s="8">
        <v>97.187</v>
      </c>
      <c r="U4" s="8">
        <v>97.0625</v>
      </c>
      <c r="V4" s="8">
        <v>97.2655</v>
      </c>
      <c r="W4" s="8">
        <v>97.27449999999999</v>
      </c>
      <c r="X4" s="8">
        <v>97.2325</v>
      </c>
      <c r="Y4" s="8">
        <v>96.8865</v>
      </c>
      <c r="Z4" s="8">
        <v>97.1885</v>
      </c>
      <c r="AA4" s="8">
        <v>97.24000000000001</v>
      </c>
      <c r="AB4" s="8">
        <v>96.87650000000001</v>
      </c>
      <c r="AC4" s="8">
        <v>97.15599999999999</v>
      </c>
      <c r="AD4" s="8">
        <v>97.16799999999999</v>
      </c>
      <c r="AE4" s="8">
        <v>97.208</v>
      </c>
      <c r="AF4" s="8">
        <v>96.92399999999999</v>
      </c>
      <c r="AG4" s="8">
        <v>96.9855</v>
      </c>
    </row>
    <row r="5">
      <c r="A5" s="7" t="s">
        <v>73</v>
      </c>
      <c r="B5" s="8">
        <v>97.1125</v>
      </c>
      <c r="C5" s="8">
        <v>96.9805</v>
      </c>
      <c r="D5" s="8">
        <v>96.852</v>
      </c>
      <c r="E5" s="8">
        <v>96.9475</v>
      </c>
      <c r="F5" s="8">
        <v>97.17949999999999</v>
      </c>
      <c r="G5" s="8">
        <v>97.3615</v>
      </c>
      <c r="H5" s="8">
        <v>96.855</v>
      </c>
      <c r="I5" s="8">
        <v>97.252</v>
      </c>
      <c r="J5" s="8">
        <v>97.05950000000001</v>
      </c>
      <c r="K5" s="8">
        <v>97.13099999999999</v>
      </c>
      <c r="L5" s="8">
        <v>97.08850000000001</v>
      </c>
      <c r="M5" s="8">
        <v>97.09599999999999</v>
      </c>
      <c r="N5" s="8">
        <v>97.081</v>
      </c>
      <c r="O5" s="8">
        <v>96.908</v>
      </c>
      <c r="P5" s="8">
        <v>97.13250000000001</v>
      </c>
      <c r="Q5" s="8">
        <v>97.157</v>
      </c>
      <c r="R5" s="8">
        <v>97.331</v>
      </c>
      <c r="S5" s="8">
        <v>97.2625</v>
      </c>
      <c r="T5" s="8">
        <v>96.967</v>
      </c>
      <c r="U5" s="8">
        <v>97.22250000000001</v>
      </c>
      <c r="V5" s="8">
        <v>97.0655</v>
      </c>
      <c r="W5" s="8">
        <v>96.9545</v>
      </c>
      <c r="X5" s="8">
        <v>97.3525</v>
      </c>
      <c r="Y5" s="8">
        <v>97.2165</v>
      </c>
      <c r="Z5" s="8">
        <v>97.0585</v>
      </c>
      <c r="AA5" s="8">
        <v>97.08</v>
      </c>
      <c r="AB5" s="8">
        <v>96.8565</v>
      </c>
      <c r="AC5" s="8">
        <v>97.29599999999999</v>
      </c>
      <c r="AD5" s="8">
        <v>96.80799999999999</v>
      </c>
      <c r="AE5" s="8">
        <v>97.268</v>
      </c>
      <c r="AF5" s="8">
        <v>96.874</v>
      </c>
      <c r="AG5" s="8">
        <v>97.0055</v>
      </c>
    </row>
    <row r="6">
      <c r="A6" s="7" t="s">
        <v>78</v>
      </c>
      <c r="B6" s="8">
        <v>97.0725</v>
      </c>
      <c r="C6" s="8">
        <v>96.82050000000001</v>
      </c>
      <c r="D6" s="8">
        <v>97.14200000000001</v>
      </c>
      <c r="E6" s="8">
        <v>96.9375</v>
      </c>
      <c r="F6" s="8">
        <v>97.25949999999999</v>
      </c>
      <c r="G6" s="8">
        <v>97.2715</v>
      </c>
      <c r="H6" s="8">
        <v>97.115</v>
      </c>
      <c r="I6" s="8">
        <v>97.07199999999999</v>
      </c>
      <c r="J6" s="8">
        <v>96.97950000000002</v>
      </c>
      <c r="K6" s="8">
        <v>97.05099999999999</v>
      </c>
      <c r="L6" s="8">
        <v>97.30850000000001</v>
      </c>
      <c r="M6" s="8">
        <v>96.866</v>
      </c>
      <c r="N6" s="8">
        <v>97.061</v>
      </c>
      <c r="O6" s="8">
        <v>96.97800000000001</v>
      </c>
      <c r="P6" s="8">
        <v>97.09250000000002</v>
      </c>
      <c r="Q6" s="8">
        <v>97.23700000000001</v>
      </c>
      <c r="R6" s="8">
        <v>97.11099999999999</v>
      </c>
      <c r="S6" s="8">
        <v>97.16250000000001</v>
      </c>
      <c r="T6" s="8">
        <v>96.997</v>
      </c>
      <c r="U6" s="8">
        <v>97.0425</v>
      </c>
      <c r="V6" s="8">
        <v>97.2355</v>
      </c>
      <c r="W6" s="8">
        <v>97.24449999999999</v>
      </c>
      <c r="X6" s="8">
        <v>97.2625</v>
      </c>
      <c r="Y6" s="8">
        <v>97.1065</v>
      </c>
      <c r="Z6" s="8">
        <v>97.2985</v>
      </c>
      <c r="AA6" s="8">
        <v>97.0</v>
      </c>
      <c r="AB6" s="8">
        <v>96.8565</v>
      </c>
      <c r="AC6" s="8">
        <v>96.946</v>
      </c>
      <c r="AD6" s="8">
        <v>96.978</v>
      </c>
      <c r="AE6" s="8">
        <v>96.948</v>
      </c>
      <c r="AF6" s="8">
        <v>97.004</v>
      </c>
      <c r="AG6" s="8">
        <v>96.91550000000001</v>
      </c>
    </row>
    <row r="7">
      <c r="A7" s="7" t="s">
        <v>83</v>
      </c>
      <c r="B7" s="8">
        <v>97.1225</v>
      </c>
      <c r="C7" s="8">
        <v>97.18050000000001</v>
      </c>
      <c r="D7" s="8">
        <v>97.012</v>
      </c>
      <c r="E7" s="8">
        <v>97.0575</v>
      </c>
      <c r="F7" s="8">
        <v>97.34949999999999</v>
      </c>
      <c r="G7" s="8">
        <v>97.35150000000002</v>
      </c>
      <c r="H7" s="8">
        <v>96.855</v>
      </c>
      <c r="I7" s="8">
        <v>97.18199999999999</v>
      </c>
      <c r="J7" s="8">
        <v>96.88950000000001</v>
      </c>
      <c r="K7" s="8">
        <v>97.00099999999999</v>
      </c>
      <c r="L7" s="8">
        <v>97.16850000000001</v>
      </c>
      <c r="M7" s="8">
        <v>97.036</v>
      </c>
      <c r="N7" s="8">
        <v>97.031</v>
      </c>
      <c r="O7" s="8">
        <v>97.208</v>
      </c>
      <c r="P7" s="8">
        <v>97.30250000000001</v>
      </c>
      <c r="Q7" s="8">
        <v>97.177</v>
      </c>
      <c r="R7" s="8">
        <v>97.181</v>
      </c>
      <c r="S7" s="8">
        <v>97.13250000000001</v>
      </c>
      <c r="T7" s="8">
        <v>96.837</v>
      </c>
      <c r="U7" s="8">
        <v>97.0725</v>
      </c>
      <c r="V7" s="8">
        <v>96.9355</v>
      </c>
      <c r="W7" s="8">
        <v>97.24449999999999</v>
      </c>
      <c r="X7" s="8">
        <v>97.3725</v>
      </c>
      <c r="Y7" s="8">
        <v>97.1365</v>
      </c>
      <c r="Z7" s="8">
        <v>97.1185</v>
      </c>
      <c r="AA7" s="8">
        <v>97.07000000000001</v>
      </c>
      <c r="AB7" s="8">
        <v>97.0565</v>
      </c>
      <c r="AC7" s="8">
        <v>97.256</v>
      </c>
      <c r="AD7" s="8">
        <v>97.09799999999998</v>
      </c>
      <c r="AE7" s="8">
        <v>97.24799999999999</v>
      </c>
      <c r="AF7" s="8">
        <v>97.254</v>
      </c>
      <c r="AG7" s="8">
        <v>97.13550000000001</v>
      </c>
    </row>
    <row r="8">
      <c r="A8" s="7" t="s">
        <v>88</v>
      </c>
      <c r="B8" s="8">
        <v>96.9725</v>
      </c>
      <c r="C8" s="8">
        <v>96.9205</v>
      </c>
      <c r="D8" s="8">
        <v>96.792</v>
      </c>
      <c r="E8" s="8">
        <v>96.9775</v>
      </c>
      <c r="F8" s="8">
        <v>97.0495</v>
      </c>
      <c r="G8" s="8">
        <v>97.2215</v>
      </c>
      <c r="H8" s="8">
        <v>97.095</v>
      </c>
      <c r="I8" s="8">
        <v>97.262</v>
      </c>
      <c r="J8" s="8">
        <v>96.90950000000001</v>
      </c>
      <c r="K8" s="8">
        <v>96.83099999999999</v>
      </c>
      <c r="L8" s="8">
        <v>97.2085</v>
      </c>
      <c r="M8" s="8">
        <v>96.946</v>
      </c>
      <c r="N8" s="8">
        <v>97.09100000000001</v>
      </c>
      <c r="O8" s="8">
        <v>96.998</v>
      </c>
      <c r="P8" s="8">
        <v>97.25250000000001</v>
      </c>
      <c r="Q8" s="8">
        <v>96.98700000000001</v>
      </c>
      <c r="R8" s="8">
        <v>97.301</v>
      </c>
      <c r="S8" s="8">
        <v>97.1225</v>
      </c>
      <c r="T8" s="8">
        <v>97.097</v>
      </c>
      <c r="U8" s="8">
        <v>97.3525</v>
      </c>
      <c r="V8" s="8">
        <v>97.2155</v>
      </c>
      <c r="W8" s="8">
        <v>96.9845</v>
      </c>
      <c r="X8" s="8">
        <v>97.3125</v>
      </c>
      <c r="Y8" s="8">
        <v>97.09649999999999</v>
      </c>
      <c r="Z8" s="8">
        <v>97.2685</v>
      </c>
      <c r="AA8" s="8">
        <v>97.11</v>
      </c>
      <c r="AB8" s="8">
        <v>97.1465</v>
      </c>
      <c r="AC8" s="8">
        <v>97.29599999999999</v>
      </c>
      <c r="AD8" s="8">
        <v>96.96799999999999</v>
      </c>
      <c r="AE8" s="8">
        <v>97.238</v>
      </c>
      <c r="AF8" s="8">
        <v>97.184</v>
      </c>
      <c r="AG8" s="8">
        <v>97.0355</v>
      </c>
    </row>
    <row r="9">
      <c r="A9" s="7" t="s">
        <v>95</v>
      </c>
      <c r="B9" s="8">
        <v>97.1525</v>
      </c>
      <c r="C9" s="8">
        <v>96.8305</v>
      </c>
      <c r="D9" s="8">
        <v>97.102</v>
      </c>
      <c r="E9" s="8">
        <v>97.06750000000001</v>
      </c>
      <c r="F9" s="8">
        <v>97.1295</v>
      </c>
      <c r="G9" s="8">
        <v>97.1115</v>
      </c>
      <c r="H9" s="8">
        <v>97.125</v>
      </c>
      <c r="I9" s="8">
        <v>97.21199999999999</v>
      </c>
      <c r="J9" s="8">
        <v>97.0995</v>
      </c>
      <c r="K9" s="8">
        <v>97.05099999999999</v>
      </c>
      <c r="L9" s="8">
        <v>97.2985</v>
      </c>
      <c r="M9" s="8">
        <v>96.996</v>
      </c>
      <c r="N9" s="8">
        <v>96.961</v>
      </c>
      <c r="O9" s="8">
        <v>96.958</v>
      </c>
      <c r="P9" s="8">
        <v>97.1025</v>
      </c>
      <c r="Q9" s="8">
        <v>97.09700000000001</v>
      </c>
      <c r="R9" s="8">
        <v>97.14099999999999</v>
      </c>
      <c r="S9" s="8">
        <v>97.0425</v>
      </c>
      <c r="T9" s="8">
        <v>97.147</v>
      </c>
      <c r="U9" s="8">
        <v>97.16250000000001</v>
      </c>
      <c r="V9" s="8">
        <v>96.9955</v>
      </c>
      <c r="W9" s="8">
        <v>97.1445</v>
      </c>
      <c r="X9" s="8">
        <v>97.13250000000001</v>
      </c>
      <c r="Y9" s="8">
        <v>97.0165</v>
      </c>
      <c r="Z9" s="8">
        <v>97.1785</v>
      </c>
      <c r="AA9" s="8">
        <v>96.93</v>
      </c>
      <c r="AB9" s="8">
        <v>96.8965</v>
      </c>
      <c r="AC9" s="8">
        <v>97.286</v>
      </c>
      <c r="AD9" s="8">
        <v>96.948</v>
      </c>
      <c r="AE9" s="8">
        <v>96.978</v>
      </c>
      <c r="AF9" s="8">
        <v>97.164</v>
      </c>
      <c r="AG9" s="8">
        <v>96.8555</v>
      </c>
    </row>
    <row r="10">
      <c r="A10" s="7" t="s">
        <v>99</v>
      </c>
      <c r="B10" s="8">
        <v>97.0425</v>
      </c>
      <c r="C10" s="8">
        <v>96.99050000000001</v>
      </c>
      <c r="D10" s="8">
        <v>96.86200000000001</v>
      </c>
      <c r="E10" s="8">
        <v>97.2475</v>
      </c>
      <c r="F10" s="8">
        <v>97.3595</v>
      </c>
      <c r="G10" s="8">
        <v>97.2215</v>
      </c>
      <c r="H10" s="8">
        <v>97.175</v>
      </c>
      <c r="I10" s="8">
        <v>97.032</v>
      </c>
      <c r="J10" s="8">
        <v>97.2395</v>
      </c>
      <c r="K10" s="8">
        <v>96.871</v>
      </c>
      <c r="L10" s="8">
        <v>97.2685</v>
      </c>
      <c r="M10" s="8">
        <v>97.136</v>
      </c>
      <c r="N10" s="8">
        <v>96.981</v>
      </c>
      <c r="O10" s="8">
        <v>96.918</v>
      </c>
      <c r="P10" s="8">
        <v>97.25250000000001</v>
      </c>
      <c r="Q10" s="8">
        <v>96.887</v>
      </c>
      <c r="R10" s="8">
        <v>97.021</v>
      </c>
      <c r="S10" s="8">
        <v>97.36250000000001</v>
      </c>
      <c r="T10" s="8">
        <v>96.947</v>
      </c>
      <c r="U10" s="8">
        <v>97.1025</v>
      </c>
      <c r="V10" s="8">
        <v>96.8955</v>
      </c>
      <c r="W10" s="8">
        <v>97.22449999999999</v>
      </c>
      <c r="X10" s="8">
        <v>97.0325</v>
      </c>
      <c r="Y10" s="8">
        <v>97.0865</v>
      </c>
      <c r="Z10" s="8">
        <v>97.1885</v>
      </c>
      <c r="AA10" s="8">
        <v>97.25</v>
      </c>
      <c r="AB10" s="8">
        <v>97.04650000000001</v>
      </c>
      <c r="AC10" s="8">
        <v>97.20599999999999</v>
      </c>
      <c r="AD10" s="8">
        <v>97.18799999999999</v>
      </c>
      <c r="AE10" s="8">
        <v>97.07799999999999</v>
      </c>
      <c r="AF10" s="8">
        <v>97.244</v>
      </c>
      <c r="AG10" s="8">
        <v>97.1255</v>
      </c>
    </row>
    <row r="11">
      <c r="A11" s="7" t="s">
        <v>105</v>
      </c>
      <c r="B11" s="8">
        <v>97.0325</v>
      </c>
      <c r="C11" s="8">
        <v>97.01050000000001</v>
      </c>
      <c r="D11" s="8">
        <v>97.062</v>
      </c>
      <c r="E11" s="8">
        <v>97.1675</v>
      </c>
      <c r="F11" s="8">
        <v>97.0295</v>
      </c>
      <c r="G11" s="8">
        <v>97.0515</v>
      </c>
      <c r="H11" s="8">
        <v>97.085</v>
      </c>
      <c r="I11" s="8">
        <v>97.30199999999999</v>
      </c>
      <c r="J11" s="8">
        <v>96.8995</v>
      </c>
      <c r="K11" s="8">
        <v>97.14099999999999</v>
      </c>
      <c r="L11" s="8">
        <v>97.0485</v>
      </c>
      <c r="M11" s="8">
        <v>96.976</v>
      </c>
      <c r="N11" s="8">
        <v>97.261</v>
      </c>
      <c r="O11" s="8">
        <v>96.94800000000001</v>
      </c>
      <c r="P11" s="8">
        <v>97.0425</v>
      </c>
      <c r="Q11" s="8">
        <v>97.257</v>
      </c>
      <c r="R11" s="8">
        <v>97.14099999999999</v>
      </c>
      <c r="S11" s="8">
        <v>97.38250000000001</v>
      </c>
      <c r="T11" s="8">
        <v>97.077</v>
      </c>
      <c r="U11" s="8">
        <v>97.1525</v>
      </c>
      <c r="V11" s="8">
        <v>97.1055</v>
      </c>
      <c r="W11" s="8">
        <v>97.02449999999999</v>
      </c>
      <c r="X11" s="8">
        <v>97.1025</v>
      </c>
      <c r="Y11" s="8">
        <v>96.92649999999999</v>
      </c>
      <c r="Z11" s="8">
        <v>97.2585</v>
      </c>
      <c r="AA11" s="8">
        <v>97.04</v>
      </c>
      <c r="AB11" s="8">
        <v>96.8565</v>
      </c>
      <c r="AC11" s="8">
        <v>96.996</v>
      </c>
      <c r="AD11" s="8">
        <v>97.02799999999999</v>
      </c>
      <c r="AE11" s="8">
        <v>97.118</v>
      </c>
      <c r="AF11" s="8">
        <v>96.884</v>
      </c>
      <c r="AG11" s="8">
        <v>97.0355</v>
      </c>
    </row>
    <row r="12">
      <c r="A12" s="7" t="s">
        <v>110</v>
      </c>
      <c r="B12" s="8">
        <v>96.9725</v>
      </c>
      <c r="C12" s="8">
        <v>97.18050000000001</v>
      </c>
      <c r="D12" s="8">
        <v>96.83200000000001</v>
      </c>
      <c r="E12" s="8">
        <v>96.9975</v>
      </c>
      <c r="F12" s="8">
        <v>97.23949999999999</v>
      </c>
      <c r="G12" s="8">
        <v>97.24150000000002</v>
      </c>
      <c r="H12" s="8">
        <v>97.025</v>
      </c>
      <c r="I12" s="8">
        <v>97.262</v>
      </c>
      <c r="J12" s="8">
        <v>97.08950000000002</v>
      </c>
      <c r="K12" s="8">
        <v>97.091</v>
      </c>
      <c r="L12" s="8">
        <v>97.1085</v>
      </c>
      <c r="M12" s="8">
        <v>96.84599999999999</v>
      </c>
      <c r="N12" s="8">
        <v>97.351</v>
      </c>
      <c r="O12" s="8">
        <v>96.898</v>
      </c>
      <c r="P12" s="8">
        <v>97.39250000000001</v>
      </c>
      <c r="Q12" s="8">
        <v>96.867</v>
      </c>
      <c r="R12" s="8">
        <v>97.101</v>
      </c>
      <c r="S12" s="8">
        <v>97.30250000000001</v>
      </c>
      <c r="T12" s="8">
        <v>97.037</v>
      </c>
      <c r="U12" s="8">
        <v>97.1725</v>
      </c>
      <c r="V12" s="8">
        <v>97.0155</v>
      </c>
      <c r="W12" s="8">
        <v>97.08449999999999</v>
      </c>
      <c r="X12" s="8">
        <v>97.0025</v>
      </c>
      <c r="Y12" s="8">
        <v>97.2165</v>
      </c>
      <c r="Z12" s="8">
        <v>97.3185</v>
      </c>
      <c r="AA12" s="8">
        <v>97.09</v>
      </c>
      <c r="AB12" s="8">
        <v>96.8165</v>
      </c>
      <c r="AC12" s="8">
        <v>97.01599999999999</v>
      </c>
      <c r="AD12" s="8">
        <v>97.12799999999999</v>
      </c>
      <c r="AE12" s="8">
        <v>96.928</v>
      </c>
      <c r="AF12" s="8">
        <v>97.14399999999999</v>
      </c>
      <c r="AG12" s="8">
        <v>97.0055</v>
      </c>
    </row>
    <row r="13">
      <c r="A13" s="7" t="s">
        <v>113</v>
      </c>
      <c r="B13" s="8">
        <v>97.3325</v>
      </c>
      <c r="C13" s="8">
        <v>96.96050000000001</v>
      </c>
      <c r="D13" s="8">
        <v>96.802</v>
      </c>
      <c r="E13" s="8">
        <v>96.9775</v>
      </c>
      <c r="F13" s="8">
        <v>97.0895</v>
      </c>
      <c r="G13" s="8">
        <v>97.01150000000001</v>
      </c>
      <c r="H13" s="8">
        <v>96.955</v>
      </c>
      <c r="I13" s="8">
        <v>97.07199999999999</v>
      </c>
      <c r="J13" s="8">
        <v>97.21950000000001</v>
      </c>
      <c r="K13" s="8">
        <v>97.07099999999998</v>
      </c>
      <c r="L13" s="8">
        <v>97.02850000000001</v>
      </c>
      <c r="M13" s="8">
        <v>97.026</v>
      </c>
      <c r="N13" s="8">
        <v>97.281</v>
      </c>
      <c r="O13" s="8">
        <v>96.968</v>
      </c>
      <c r="P13" s="8">
        <v>96.9925</v>
      </c>
      <c r="Q13" s="8">
        <v>96.917</v>
      </c>
      <c r="R13" s="8">
        <v>97.00099999999999</v>
      </c>
      <c r="S13" s="8">
        <v>97.0325</v>
      </c>
      <c r="T13" s="8">
        <v>97.177</v>
      </c>
      <c r="U13" s="8">
        <v>97.08250000000001</v>
      </c>
      <c r="V13" s="8">
        <v>96.97550000000001</v>
      </c>
      <c r="W13" s="8">
        <v>97.05449999999999</v>
      </c>
      <c r="X13" s="8">
        <v>97.1225</v>
      </c>
      <c r="Y13" s="8">
        <v>97.09649999999999</v>
      </c>
      <c r="Z13" s="8">
        <v>97.3285</v>
      </c>
      <c r="AA13" s="8">
        <v>97.01</v>
      </c>
      <c r="AB13" s="8">
        <v>97.1965</v>
      </c>
      <c r="AC13" s="8">
        <v>97.196</v>
      </c>
      <c r="AD13" s="8">
        <v>96.82799999999999</v>
      </c>
      <c r="AE13" s="8">
        <v>97.18799999999999</v>
      </c>
      <c r="AF13" s="8">
        <v>97.154</v>
      </c>
      <c r="AG13" s="8">
        <v>97.1155</v>
      </c>
    </row>
    <row r="14">
      <c r="A14" s="7" t="s">
        <v>114</v>
      </c>
      <c r="B14" s="8">
        <v>97.1525</v>
      </c>
      <c r="C14" s="8">
        <v>96.82050000000001</v>
      </c>
      <c r="D14" s="8">
        <v>96.97200000000001</v>
      </c>
      <c r="E14" s="8">
        <v>96.9475</v>
      </c>
      <c r="F14" s="8">
        <v>97.06949999999999</v>
      </c>
      <c r="G14" s="8">
        <v>97.0515</v>
      </c>
      <c r="H14" s="8">
        <v>97.115</v>
      </c>
      <c r="I14" s="8">
        <v>97.38199999999999</v>
      </c>
      <c r="J14" s="8">
        <v>97.05950000000001</v>
      </c>
      <c r="K14" s="8">
        <v>96.86099999999999</v>
      </c>
      <c r="L14" s="8">
        <v>97.30850000000001</v>
      </c>
      <c r="M14" s="8">
        <v>97.086</v>
      </c>
      <c r="N14" s="8">
        <v>97.141</v>
      </c>
      <c r="O14" s="8">
        <v>96.988</v>
      </c>
      <c r="P14" s="8">
        <v>97.1025</v>
      </c>
      <c r="Q14" s="8">
        <v>97.027</v>
      </c>
      <c r="R14" s="8">
        <v>96.981</v>
      </c>
      <c r="S14" s="8">
        <v>97.1425</v>
      </c>
      <c r="T14" s="8">
        <v>97.177</v>
      </c>
      <c r="U14" s="8">
        <v>97.2325</v>
      </c>
      <c r="V14" s="8">
        <v>97.1755</v>
      </c>
      <c r="W14" s="8">
        <v>97.30449999999999</v>
      </c>
      <c r="X14" s="8">
        <v>97.2125</v>
      </c>
      <c r="Y14" s="8">
        <v>97.2265</v>
      </c>
      <c r="Z14" s="8">
        <v>97.0185</v>
      </c>
      <c r="AA14" s="8">
        <v>97.17</v>
      </c>
      <c r="AB14" s="8">
        <v>96.9465</v>
      </c>
      <c r="AC14" s="8">
        <v>97.20599999999999</v>
      </c>
      <c r="AD14" s="8">
        <v>96.99799999999999</v>
      </c>
      <c r="AE14" s="8">
        <v>97.30799999999999</v>
      </c>
      <c r="AF14" s="8">
        <v>97.03399999999999</v>
      </c>
      <c r="AG14" s="8">
        <v>97.1255</v>
      </c>
    </row>
    <row r="15">
      <c r="A15" s="7" t="s">
        <v>116</v>
      </c>
      <c r="B15" s="8">
        <v>97.0925</v>
      </c>
      <c r="C15" s="8">
        <v>97.18050000000001</v>
      </c>
      <c r="D15" s="8">
        <v>96.86200000000001</v>
      </c>
      <c r="E15" s="8">
        <v>97.1375</v>
      </c>
      <c r="F15" s="8">
        <v>97.31949999999999</v>
      </c>
      <c r="G15" s="8">
        <v>97.1115</v>
      </c>
      <c r="H15" s="8">
        <v>97.165</v>
      </c>
      <c r="I15" s="8">
        <v>97.35199999999999</v>
      </c>
      <c r="J15" s="8">
        <v>96.96950000000001</v>
      </c>
      <c r="K15" s="8">
        <v>97.06099999999999</v>
      </c>
      <c r="L15" s="8">
        <v>97.0085</v>
      </c>
      <c r="M15" s="8">
        <v>97.12599999999999</v>
      </c>
      <c r="N15" s="8">
        <v>97.051</v>
      </c>
      <c r="O15" s="8">
        <v>97.148</v>
      </c>
      <c r="P15" s="8">
        <v>97.2125</v>
      </c>
      <c r="Q15" s="8">
        <v>96.887</v>
      </c>
      <c r="R15" s="8">
        <v>97.081</v>
      </c>
      <c r="S15" s="8">
        <v>97.16250000000001</v>
      </c>
      <c r="T15" s="8">
        <v>97.147</v>
      </c>
      <c r="U15" s="8">
        <v>97.3225</v>
      </c>
      <c r="V15" s="8">
        <v>97.1555</v>
      </c>
      <c r="W15" s="8">
        <v>97.33449999999999</v>
      </c>
      <c r="X15" s="8">
        <v>97.1825</v>
      </c>
      <c r="Y15" s="8">
        <v>97.1165</v>
      </c>
      <c r="Z15" s="8">
        <v>97.1885</v>
      </c>
      <c r="AA15" s="8">
        <v>97.14</v>
      </c>
      <c r="AB15" s="8">
        <v>97.0765</v>
      </c>
      <c r="AC15" s="8">
        <v>96.93599999999999</v>
      </c>
      <c r="AD15" s="8">
        <v>96.838</v>
      </c>
      <c r="AE15" s="8">
        <v>97.148</v>
      </c>
      <c r="AF15" s="8">
        <v>96.914</v>
      </c>
      <c r="AG15" s="8">
        <v>97.0055</v>
      </c>
    </row>
    <row r="16">
      <c r="A16" s="7" t="s">
        <v>126</v>
      </c>
      <c r="B16" s="8">
        <v>97.24249999999999</v>
      </c>
      <c r="C16" s="8">
        <v>96.99050000000001</v>
      </c>
      <c r="D16" s="8">
        <v>97.162</v>
      </c>
      <c r="E16" s="8">
        <v>97.0475</v>
      </c>
      <c r="F16" s="8">
        <v>97.0795</v>
      </c>
      <c r="G16" s="8">
        <v>97.1615</v>
      </c>
      <c r="H16" s="8">
        <v>96.935</v>
      </c>
      <c r="I16" s="8">
        <v>97.122</v>
      </c>
      <c r="J16" s="8">
        <v>97.0695</v>
      </c>
      <c r="K16" s="8">
        <v>97.00099999999999</v>
      </c>
      <c r="L16" s="8">
        <v>97.3185</v>
      </c>
      <c r="M16" s="8">
        <v>96.956</v>
      </c>
      <c r="N16" s="8">
        <v>97.041</v>
      </c>
      <c r="O16" s="8">
        <v>97.008</v>
      </c>
      <c r="P16" s="8">
        <v>97.3525</v>
      </c>
      <c r="Q16" s="8">
        <v>96.997</v>
      </c>
      <c r="R16" s="8">
        <v>97.331</v>
      </c>
      <c r="S16" s="8">
        <v>97.0025</v>
      </c>
      <c r="T16" s="8">
        <v>96.827</v>
      </c>
      <c r="U16" s="8">
        <v>97.13250000000001</v>
      </c>
      <c r="V16" s="8">
        <v>97.1255</v>
      </c>
      <c r="W16" s="8">
        <v>97.0345</v>
      </c>
      <c r="X16" s="8">
        <v>97.0025</v>
      </c>
      <c r="Y16" s="8">
        <v>97.2265</v>
      </c>
      <c r="Z16" s="8">
        <v>97.2385</v>
      </c>
      <c r="AA16" s="8">
        <v>97.26</v>
      </c>
      <c r="AB16" s="8">
        <v>96.8965</v>
      </c>
      <c r="AC16" s="8">
        <v>97.196</v>
      </c>
      <c r="AD16" s="8">
        <v>97.05799999999999</v>
      </c>
      <c r="AE16" s="8">
        <v>96.948</v>
      </c>
      <c r="AF16" s="8">
        <v>96.884</v>
      </c>
      <c r="AG16" s="8">
        <v>97.0955</v>
      </c>
    </row>
    <row r="17">
      <c r="A17" s="7" t="s">
        <v>139</v>
      </c>
      <c r="B17" s="8">
        <v>97.3125</v>
      </c>
      <c r="C17" s="8">
        <v>96.8105</v>
      </c>
      <c r="D17" s="8">
        <v>97.11200000000001</v>
      </c>
      <c r="E17" s="8">
        <v>96.9175</v>
      </c>
      <c r="F17" s="8">
        <v>97.0495</v>
      </c>
      <c r="G17" s="8">
        <v>97.17150000000001</v>
      </c>
      <c r="H17" s="8">
        <v>96.94500000000001</v>
      </c>
      <c r="I17" s="8">
        <v>97.24199999999999</v>
      </c>
      <c r="J17" s="8">
        <v>96.99950000000001</v>
      </c>
      <c r="K17" s="8">
        <v>97.181</v>
      </c>
      <c r="L17" s="8">
        <v>97.0385</v>
      </c>
      <c r="M17" s="8">
        <v>97.18599999999999</v>
      </c>
      <c r="N17" s="8">
        <v>97.09100000000001</v>
      </c>
      <c r="O17" s="8">
        <v>97.048</v>
      </c>
      <c r="P17" s="8">
        <v>97.3525</v>
      </c>
      <c r="Q17" s="8">
        <v>96.897</v>
      </c>
      <c r="R17" s="8">
        <v>96.951</v>
      </c>
      <c r="S17" s="8">
        <v>97.02250000000001</v>
      </c>
      <c r="T17" s="8">
        <v>97.157</v>
      </c>
      <c r="U17" s="8">
        <v>97.33250000000001</v>
      </c>
      <c r="V17" s="8">
        <v>97.19550000000001</v>
      </c>
      <c r="W17" s="8">
        <v>97.24449999999999</v>
      </c>
      <c r="X17" s="8">
        <v>97.1125</v>
      </c>
      <c r="Y17" s="8">
        <v>97.2565</v>
      </c>
      <c r="Z17" s="8">
        <v>97.0385</v>
      </c>
      <c r="AA17" s="8">
        <v>97.13</v>
      </c>
      <c r="AB17" s="8">
        <v>97.15650000000001</v>
      </c>
      <c r="AC17" s="8">
        <v>97.04599999999999</v>
      </c>
      <c r="AD17" s="8">
        <v>97.12799999999999</v>
      </c>
      <c r="AE17" s="8">
        <v>97.07799999999999</v>
      </c>
      <c r="AF17" s="8">
        <v>97.064</v>
      </c>
      <c r="AG17" s="8">
        <v>97.05550000000001</v>
      </c>
    </row>
    <row r="18">
      <c r="A18" s="7" t="s">
        <v>140</v>
      </c>
      <c r="B18" s="8">
        <v>97.1925</v>
      </c>
      <c r="C18" s="8">
        <v>97.07050000000001</v>
      </c>
      <c r="D18" s="8">
        <v>97.14200000000001</v>
      </c>
      <c r="E18" s="8">
        <v>97.06750000000001</v>
      </c>
      <c r="F18" s="8">
        <v>96.9995</v>
      </c>
      <c r="G18" s="8">
        <v>97.25150000000001</v>
      </c>
      <c r="H18" s="8">
        <v>96.875</v>
      </c>
      <c r="I18" s="8">
        <v>97.02199999999999</v>
      </c>
      <c r="J18" s="8">
        <v>97.07950000000001</v>
      </c>
      <c r="K18" s="8">
        <v>97.02099999999999</v>
      </c>
      <c r="L18" s="8">
        <v>97.1885</v>
      </c>
      <c r="M18" s="8">
        <v>97.036</v>
      </c>
      <c r="N18" s="8">
        <v>97.231</v>
      </c>
      <c r="O18" s="8">
        <v>97.178</v>
      </c>
      <c r="P18" s="8">
        <v>97.2625</v>
      </c>
      <c r="Q18" s="8">
        <v>96.98700000000001</v>
      </c>
      <c r="R18" s="8">
        <v>97.301</v>
      </c>
      <c r="S18" s="8">
        <v>97.0625</v>
      </c>
      <c r="T18" s="8">
        <v>96.837</v>
      </c>
      <c r="U18" s="8">
        <v>97.30250000000001</v>
      </c>
      <c r="V18" s="8">
        <v>97.2655</v>
      </c>
      <c r="W18" s="8">
        <v>96.9845</v>
      </c>
      <c r="X18" s="8">
        <v>97.1525</v>
      </c>
      <c r="Y18" s="8">
        <v>97.1365</v>
      </c>
      <c r="Z18" s="8">
        <v>97.13850000000001</v>
      </c>
      <c r="AA18" s="8">
        <v>97.19</v>
      </c>
      <c r="AB18" s="8">
        <v>96.9465</v>
      </c>
      <c r="AC18" s="8">
        <v>97.226</v>
      </c>
      <c r="AD18" s="8">
        <v>96.91799999999999</v>
      </c>
      <c r="AE18" s="8">
        <v>97.258</v>
      </c>
      <c r="AF18" s="8">
        <v>96.994</v>
      </c>
      <c r="AG18" s="8">
        <v>96.88550000000001</v>
      </c>
    </row>
    <row r="19">
      <c r="A19" s="7" t="s">
        <v>141</v>
      </c>
      <c r="B19" s="8">
        <v>97.3325</v>
      </c>
      <c r="C19" s="8">
        <v>96.8705</v>
      </c>
      <c r="D19" s="8">
        <v>96.962</v>
      </c>
      <c r="E19" s="8">
        <v>96.9175</v>
      </c>
      <c r="F19" s="8">
        <v>97.31949999999999</v>
      </c>
      <c r="G19" s="8">
        <v>97.13150000000002</v>
      </c>
      <c r="H19" s="8">
        <v>97.185</v>
      </c>
      <c r="I19" s="8">
        <v>97.202</v>
      </c>
      <c r="J19" s="8">
        <v>96.91950000000001</v>
      </c>
      <c r="K19" s="8">
        <v>97.10099999999998</v>
      </c>
      <c r="L19" s="8">
        <v>96.9885</v>
      </c>
      <c r="M19" s="8">
        <v>97.076</v>
      </c>
      <c r="N19" s="8">
        <v>97.131</v>
      </c>
      <c r="O19" s="8">
        <v>97.178</v>
      </c>
      <c r="P19" s="8">
        <v>97.14250000000001</v>
      </c>
      <c r="Q19" s="8">
        <v>96.857</v>
      </c>
      <c r="R19" s="8">
        <v>97.03099999999999</v>
      </c>
      <c r="S19" s="8">
        <v>97.1725</v>
      </c>
      <c r="T19" s="8">
        <v>97.157</v>
      </c>
      <c r="U19" s="8">
        <v>97.2625</v>
      </c>
      <c r="V19" s="8">
        <v>96.9655</v>
      </c>
      <c r="W19" s="8">
        <v>97.0445</v>
      </c>
      <c r="X19" s="8">
        <v>97.3225</v>
      </c>
      <c r="Y19" s="8">
        <v>97.0465</v>
      </c>
      <c r="Z19" s="8">
        <v>97.2885</v>
      </c>
      <c r="AA19" s="8">
        <v>97.14</v>
      </c>
      <c r="AB19" s="8">
        <v>97.15650000000001</v>
      </c>
      <c r="AC19" s="8">
        <v>97.12599999999999</v>
      </c>
      <c r="AD19" s="8">
        <v>96.99799999999999</v>
      </c>
      <c r="AE19" s="8">
        <v>97.198</v>
      </c>
      <c r="AF19" s="8">
        <v>97.024</v>
      </c>
      <c r="AG19" s="8">
        <v>97.0355</v>
      </c>
    </row>
    <row r="20">
      <c r="A20" s="7" t="s">
        <v>142</v>
      </c>
      <c r="B20" s="8">
        <v>97.1625</v>
      </c>
      <c r="C20" s="8">
        <v>96.8305</v>
      </c>
      <c r="D20" s="8">
        <v>97.042</v>
      </c>
      <c r="E20" s="8">
        <v>96.8875</v>
      </c>
      <c r="F20" s="8">
        <v>97.2695</v>
      </c>
      <c r="G20" s="8">
        <v>97.3615</v>
      </c>
      <c r="H20" s="8">
        <v>97.015</v>
      </c>
      <c r="I20" s="8">
        <v>97.312</v>
      </c>
      <c r="J20" s="8">
        <v>97.26950000000001</v>
      </c>
      <c r="K20" s="8">
        <v>97.06099999999999</v>
      </c>
      <c r="L20" s="8">
        <v>97.1085</v>
      </c>
      <c r="M20" s="8">
        <v>96.93599999999999</v>
      </c>
      <c r="N20" s="8">
        <v>97.191</v>
      </c>
      <c r="O20" s="8">
        <v>97.048</v>
      </c>
      <c r="P20" s="8">
        <v>97.2625</v>
      </c>
      <c r="Q20" s="8">
        <v>97.137</v>
      </c>
      <c r="R20" s="8">
        <v>97.151</v>
      </c>
      <c r="S20" s="8">
        <v>96.9925</v>
      </c>
      <c r="T20" s="8">
        <v>96.957</v>
      </c>
      <c r="U20" s="8">
        <v>97.30250000000001</v>
      </c>
      <c r="V20" s="8">
        <v>96.91550000000001</v>
      </c>
      <c r="W20" s="8">
        <v>97.0445</v>
      </c>
      <c r="X20" s="8">
        <v>97.0625</v>
      </c>
      <c r="Y20" s="8">
        <v>97.0465</v>
      </c>
      <c r="Z20" s="8">
        <v>97.13850000000001</v>
      </c>
      <c r="AA20" s="8">
        <v>97.06</v>
      </c>
      <c r="AB20" s="8">
        <v>96.90650000000001</v>
      </c>
      <c r="AC20" s="8">
        <v>97.06599999999999</v>
      </c>
      <c r="AD20" s="8">
        <v>97.15799999999999</v>
      </c>
      <c r="AE20" s="8">
        <v>96.978</v>
      </c>
      <c r="AF20" s="8">
        <v>96.994</v>
      </c>
      <c r="AG20" s="8">
        <v>97.13550000000001</v>
      </c>
    </row>
    <row r="21" ht="15.75" customHeight="1">
      <c r="A21" s="7" t="s">
        <v>144</v>
      </c>
      <c r="B21" s="8">
        <v>97.2625</v>
      </c>
      <c r="C21" s="8">
        <v>97.0805</v>
      </c>
      <c r="D21" s="8">
        <v>97.03200000000001</v>
      </c>
      <c r="E21" s="8">
        <v>96.8775</v>
      </c>
      <c r="F21" s="8">
        <v>97.1695</v>
      </c>
      <c r="G21" s="8">
        <v>97.07150000000001</v>
      </c>
      <c r="H21" s="8">
        <v>97.165</v>
      </c>
      <c r="I21" s="8">
        <v>97.422</v>
      </c>
      <c r="J21" s="8">
        <v>97.00950000000002</v>
      </c>
      <c r="K21" s="8">
        <v>96.96099999999998</v>
      </c>
      <c r="L21" s="8">
        <v>97.2085</v>
      </c>
      <c r="M21" s="8">
        <v>96.836</v>
      </c>
      <c r="N21" s="8">
        <v>97.081</v>
      </c>
      <c r="O21" s="8">
        <v>96.888</v>
      </c>
      <c r="P21" s="8">
        <v>97.1025</v>
      </c>
      <c r="Q21" s="8">
        <v>97.117</v>
      </c>
      <c r="R21" s="8">
        <v>97.31099999999999</v>
      </c>
      <c r="S21" s="8">
        <v>96.9925</v>
      </c>
      <c r="T21" s="8">
        <v>97.117</v>
      </c>
      <c r="U21" s="8">
        <v>97.27250000000001</v>
      </c>
      <c r="V21" s="8">
        <v>97.0155</v>
      </c>
      <c r="W21" s="8">
        <v>97.2945</v>
      </c>
      <c r="X21" s="8">
        <v>97.2825</v>
      </c>
      <c r="Y21" s="8">
        <v>97.2665</v>
      </c>
      <c r="Z21" s="8">
        <v>97.3385</v>
      </c>
      <c r="AA21" s="8">
        <v>97.25</v>
      </c>
      <c r="AB21" s="8">
        <v>97.0265</v>
      </c>
      <c r="AC21" s="8">
        <v>97.106</v>
      </c>
      <c r="AD21" s="8">
        <v>96.80799999999999</v>
      </c>
      <c r="AE21" s="8">
        <v>97.008</v>
      </c>
      <c r="AF21" s="8">
        <v>97.004</v>
      </c>
      <c r="AG21" s="8">
        <v>96.8455</v>
      </c>
    </row>
    <row r="22" ht="15.75" customHeight="1">
      <c r="A22" s="7" t="s">
        <v>146</v>
      </c>
      <c r="B22" s="8">
        <v>97.1225</v>
      </c>
      <c r="C22" s="8">
        <v>96.8305</v>
      </c>
      <c r="D22" s="8">
        <v>96.822</v>
      </c>
      <c r="E22" s="8">
        <v>97.09750000000001</v>
      </c>
      <c r="F22" s="8">
        <v>97.2795</v>
      </c>
      <c r="G22" s="8">
        <v>97.3315</v>
      </c>
      <c r="H22" s="8">
        <v>97.205</v>
      </c>
      <c r="I22" s="8">
        <v>97.04199999999999</v>
      </c>
      <c r="J22" s="8">
        <v>97.07950000000001</v>
      </c>
      <c r="K22" s="8">
        <v>96.841</v>
      </c>
      <c r="L22" s="8">
        <v>96.9685</v>
      </c>
      <c r="M22" s="8">
        <v>97.226</v>
      </c>
      <c r="N22" s="8">
        <v>97.061</v>
      </c>
      <c r="O22" s="8">
        <v>96.878</v>
      </c>
      <c r="P22" s="8">
        <v>97.23250000000002</v>
      </c>
      <c r="Q22" s="8">
        <v>96.907</v>
      </c>
      <c r="R22" s="8">
        <v>97.121</v>
      </c>
      <c r="S22" s="8">
        <v>97.0625</v>
      </c>
      <c r="T22" s="8">
        <v>97.097</v>
      </c>
      <c r="U22" s="8">
        <v>97.11250000000001</v>
      </c>
      <c r="V22" s="8">
        <v>97.2655</v>
      </c>
      <c r="W22" s="8">
        <v>97.1245</v>
      </c>
      <c r="X22" s="8">
        <v>97.0725</v>
      </c>
      <c r="Y22" s="8">
        <v>97.0565</v>
      </c>
      <c r="Z22" s="8">
        <v>97.0885</v>
      </c>
      <c r="AA22" s="8">
        <v>97.05</v>
      </c>
      <c r="AB22" s="8">
        <v>96.8465</v>
      </c>
      <c r="AC22" s="8">
        <v>97.01599999999999</v>
      </c>
      <c r="AD22" s="8">
        <v>97.148</v>
      </c>
      <c r="AE22" s="8">
        <v>97.288</v>
      </c>
      <c r="AF22" s="8">
        <v>97.074</v>
      </c>
      <c r="AG22" s="8">
        <v>97.2055</v>
      </c>
    </row>
    <row r="23" ht="15.75" customHeight="1">
      <c r="A23" s="7" t="s">
        <v>147</v>
      </c>
      <c r="B23" s="8">
        <v>97.3425</v>
      </c>
      <c r="C23" s="8">
        <v>97.0805</v>
      </c>
      <c r="D23" s="8">
        <v>97.042</v>
      </c>
      <c r="E23" s="8">
        <v>97.09750000000001</v>
      </c>
      <c r="F23" s="8">
        <v>97.00949999999999</v>
      </c>
      <c r="G23" s="8">
        <v>97.40150000000001</v>
      </c>
      <c r="H23" s="8">
        <v>97.19500000000001</v>
      </c>
      <c r="I23" s="8">
        <v>97.05199999999999</v>
      </c>
      <c r="J23" s="8">
        <v>97.05950000000001</v>
      </c>
      <c r="K23" s="8">
        <v>96.91099999999999</v>
      </c>
      <c r="L23" s="8">
        <v>97.19850000000001</v>
      </c>
      <c r="M23" s="8">
        <v>97.146</v>
      </c>
      <c r="N23" s="8">
        <v>97.221</v>
      </c>
      <c r="O23" s="8">
        <v>96.878</v>
      </c>
      <c r="P23" s="8">
        <v>97.3225</v>
      </c>
      <c r="Q23" s="8">
        <v>97.177</v>
      </c>
      <c r="R23" s="8">
        <v>97.241</v>
      </c>
      <c r="S23" s="8">
        <v>97.1725</v>
      </c>
      <c r="T23" s="8">
        <v>96.907</v>
      </c>
      <c r="U23" s="8">
        <v>97.0325</v>
      </c>
      <c r="V23" s="8">
        <v>96.94550000000001</v>
      </c>
      <c r="W23" s="8">
        <v>97.1545</v>
      </c>
      <c r="X23" s="8">
        <v>97.1825</v>
      </c>
      <c r="Y23" s="8">
        <v>96.9165</v>
      </c>
      <c r="Z23" s="8">
        <v>97.3785</v>
      </c>
      <c r="AA23" s="8">
        <v>97.17</v>
      </c>
      <c r="AB23" s="8">
        <v>97.2065</v>
      </c>
      <c r="AC23" s="8">
        <v>97.006</v>
      </c>
      <c r="AD23" s="8">
        <v>96.948</v>
      </c>
      <c r="AE23" s="8">
        <v>97.018</v>
      </c>
      <c r="AF23" s="8">
        <v>96.964</v>
      </c>
      <c r="AG23" s="8">
        <v>96.9855</v>
      </c>
    </row>
    <row r="24" ht="15.75" customHeight="1">
      <c r="A24" s="7" t="s">
        <v>148</v>
      </c>
      <c r="B24" s="8">
        <v>97.1325</v>
      </c>
      <c r="C24" s="8">
        <v>96.91050000000001</v>
      </c>
      <c r="D24" s="8">
        <v>96.962</v>
      </c>
      <c r="E24" s="8">
        <v>96.89750000000001</v>
      </c>
      <c r="F24" s="8">
        <v>97.28949999999999</v>
      </c>
      <c r="G24" s="8">
        <v>97.39150000000001</v>
      </c>
      <c r="H24" s="8">
        <v>97.135</v>
      </c>
      <c r="I24" s="8">
        <v>97.342</v>
      </c>
      <c r="J24" s="8">
        <v>97.04950000000001</v>
      </c>
      <c r="K24" s="8">
        <v>97.17099999999999</v>
      </c>
      <c r="L24" s="8">
        <v>97.2685</v>
      </c>
      <c r="M24" s="8">
        <v>97.026</v>
      </c>
      <c r="N24" s="8">
        <v>97.121</v>
      </c>
      <c r="O24" s="8">
        <v>96.928</v>
      </c>
      <c r="P24" s="8">
        <v>97.36250000000001</v>
      </c>
      <c r="Q24" s="8">
        <v>96.897</v>
      </c>
      <c r="R24" s="8">
        <v>97.011</v>
      </c>
      <c r="S24" s="8">
        <v>97.2625</v>
      </c>
      <c r="T24" s="8">
        <v>97.137</v>
      </c>
      <c r="U24" s="8">
        <v>97.16250000000001</v>
      </c>
      <c r="V24" s="8">
        <v>97.0655</v>
      </c>
      <c r="W24" s="8">
        <v>97.05449999999999</v>
      </c>
      <c r="X24" s="8">
        <v>97.2925</v>
      </c>
      <c r="Y24" s="8">
        <v>97.1065</v>
      </c>
      <c r="Z24" s="8">
        <v>97.1585</v>
      </c>
      <c r="AA24" s="8">
        <v>96.91</v>
      </c>
      <c r="AB24" s="8">
        <v>97.18650000000001</v>
      </c>
      <c r="AC24" s="8">
        <v>96.946</v>
      </c>
      <c r="AD24" s="8">
        <v>96.93799999999999</v>
      </c>
      <c r="AE24" s="8">
        <v>97.07799999999999</v>
      </c>
      <c r="AF24" s="8">
        <v>97.074</v>
      </c>
      <c r="AG24" s="8">
        <v>97.2055</v>
      </c>
    </row>
    <row r="25" ht="15.75" customHeight="1">
      <c r="A25" s="7" t="s">
        <v>149</v>
      </c>
      <c r="B25" s="8">
        <v>97.2325</v>
      </c>
      <c r="C25" s="8">
        <v>97.19050000000001</v>
      </c>
      <c r="D25" s="8">
        <v>97.092</v>
      </c>
      <c r="E25" s="8">
        <v>97.17750000000001</v>
      </c>
      <c r="F25" s="8">
        <v>97.03949999999999</v>
      </c>
      <c r="G25" s="8">
        <v>97.15150000000001</v>
      </c>
      <c r="H25" s="8">
        <v>97.105</v>
      </c>
      <c r="I25" s="8">
        <v>97.122</v>
      </c>
      <c r="J25" s="8">
        <v>97.05950000000001</v>
      </c>
      <c r="K25" s="8">
        <v>96.80099999999999</v>
      </c>
      <c r="L25" s="8">
        <v>97.30850000000001</v>
      </c>
      <c r="M25" s="8">
        <v>97.176</v>
      </c>
      <c r="N25" s="8">
        <v>97.321</v>
      </c>
      <c r="O25" s="8">
        <v>97.19800000000001</v>
      </c>
      <c r="P25" s="8">
        <v>97.31250000000001</v>
      </c>
      <c r="Q25" s="8">
        <v>97.077</v>
      </c>
      <c r="R25" s="8">
        <v>97.321</v>
      </c>
      <c r="S25" s="8">
        <v>97.36250000000001</v>
      </c>
      <c r="T25" s="8">
        <v>97.097</v>
      </c>
      <c r="U25" s="8">
        <v>97.1825</v>
      </c>
      <c r="V25" s="8">
        <v>96.9555</v>
      </c>
      <c r="W25" s="8">
        <v>97.2045</v>
      </c>
      <c r="X25" s="8">
        <v>97.2325</v>
      </c>
      <c r="Y25" s="8">
        <v>96.9665</v>
      </c>
      <c r="Z25" s="8">
        <v>97.2985</v>
      </c>
      <c r="AA25" s="8">
        <v>96.89</v>
      </c>
      <c r="AB25" s="8">
        <v>96.9965</v>
      </c>
      <c r="AC25" s="8">
        <v>97.29599999999999</v>
      </c>
      <c r="AD25" s="8">
        <v>97.088</v>
      </c>
      <c r="AE25" s="8">
        <v>97.288</v>
      </c>
      <c r="AF25" s="8">
        <v>96.92399999999999</v>
      </c>
      <c r="AG25" s="8">
        <v>96.9055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0"/>
    <col customWidth="1" min="2" max="33" width="10.0"/>
  </cols>
  <sheetData>
    <row r="1">
      <c r="A1" s="6" t="s">
        <v>22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  <c r="AG1" s="6" t="s">
        <v>55</v>
      </c>
    </row>
    <row r="2">
      <c r="A2" s="9" t="s">
        <v>57</v>
      </c>
      <c r="B2" s="10">
        <v>64.0</v>
      </c>
      <c r="C2" s="10">
        <v>5.0</v>
      </c>
      <c r="D2" s="10">
        <v>1.0</v>
      </c>
      <c r="E2" s="10">
        <v>23.0</v>
      </c>
      <c r="F2" s="10">
        <v>77.0</v>
      </c>
      <c r="G2" s="10">
        <v>97.0</v>
      </c>
      <c r="H2" s="10">
        <v>10.0</v>
      </c>
      <c r="I2" s="10">
        <v>90.0</v>
      </c>
      <c r="J2" s="10">
        <v>36.0</v>
      </c>
      <c r="K2" s="10">
        <v>9.0</v>
      </c>
      <c r="L2" s="10">
        <v>70.0</v>
      </c>
      <c r="M2" s="10">
        <v>19.0</v>
      </c>
      <c r="N2" s="10">
        <v>83.0</v>
      </c>
      <c r="O2" s="10">
        <v>21.0</v>
      </c>
      <c r="P2" s="10">
        <v>85.0</v>
      </c>
      <c r="Q2" s="10">
        <v>36.0</v>
      </c>
      <c r="R2" s="10">
        <v>71.0</v>
      </c>
      <c r="S2" s="10">
        <v>87.0</v>
      </c>
      <c r="T2" s="10">
        <v>4.0</v>
      </c>
      <c r="U2" s="10">
        <v>92.0</v>
      </c>
      <c r="V2" s="10">
        <v>41.0</v>
      </c>
      <c r="W2" s="10">
        <v>76.0</v>
      </c>
      <c r="X2" s="10">
        <v>82.0</v>
      </c>
      <c r="Y2" s="10">
        <v>39.0</v>
      </c>
      <c r="Z2" s="10">
        <v>97.0</v>
      </c>
      <c r="AA2" s="10">
        <v>27.0</v>
      </c>
      <c r="AB2" s="10">
        <v>14.0</v>
      </c>
      <c r="AC2" s="10">
        <v>44.0</v>
      </c>
      <c r="AD2" s="10">
        <v>15.0</v>
      </c>
      <c r="AE2" s="10">
        <v>62.0</v>
      </c>
      <c r="AF2" s="10">
        <v>39.0</v>
      </c>
      <c r="AG2" s="10">
        <v>23.0</v>
      </c>
    </row>
    <row r="3">
      <c r="A3" s="9" t="s">
        <v>70</v>
      </c>
      <c r="B3" s="10">
        <v>35.0</v>
      </c>
      <c r="C3" s="10">
        <v>4.0</v>
      </c>
      <c r="D3" s="10">
        <v>21.0</v>
      </c>
      <c r="E3" s="10">
        <v>0.0</v>
      </c>
      <c r="F3" s="10">
        <v>6.0</v>
      </c>
      <c r="G3" s="10">
        <v>82.0</v>
      </c>
      <c r="H3" s="10">
        <v>20.0</v>
      </c>
      <c r="I3" s="10">
        <v>6.0</v>
      </c>
      <c r="J3" s="10">
        <v>21.0</v>
      </c>
      <c r="K3" s="10">
        <v>43.0</v>
      </c>
      <c r="L3" s="10">
        <v>33.0</v>
      </c>
      <c r="M3" s="10">
        <v>43.0</v>
      </c>
      <c r="N3" s="10">
        <v>93.0</v>
      </c>
      <c r="O3" s="10">
        <v>9.0</v>
      </c>
      <c r="P3" s="10">
        <v>40.0</v>
      </c>
      <c r="Q3" s="10">
        <v>66.0</v>
      </c>
      <c r="R3" s="10">
        <v>53.0</v>
      </c>
      <c r="S3" s="10">
        <v>70.0</v>
      </c>
      <c r="T3" s="10">
        <v>26.0</v>
      </c>
      <c r="U3" s="10">
        <v>95.0</v>
      </c>
      <c r="V3" s="10">
        <v>54.0</v>
      </c>
      <c r="W3" s="10">
        <v>91.0</v>
      </c>
      <c r="X3" s="10">
        <v>5.0</v>
      </c>
      <c r="Y3" s="10">
        <v>42.0</v>
      </c>
      <c r="Z3" s="10">
        <v>68.0</v>
      </c>
      <c r="AA3" s="10">
        <v>15.0</v>
      </c>
      <c r="AB3" s="10">
        <v>57.0</v>
      </c>
      <c r="AC3" s="10">
        <v>8.0</v>
      </c>
      <c r="AD3" s="10">
        <v>79.0</v>
      </c>
      <c r="AE3" s="10">
        <v>74.0</v>
      </c>
      <c r="AF3" s="10">
        <v>47.0</v>
      </c>
      <c r="AG3" s="10">
        <v>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0"/>
    <col customWidth="1" min="2" max="2" width="22.0"/>
    <col customWidth="1" min="3" max="26" width="8.63"/>
  </cols>
  <sheetData>
    <row r="1">
      <c r="A1" s="11" t="s">
        <v>59</v>
      </c>
    </row>
    <row r="2">
      <c r="A2" s="12"/>
      <c r="B2" s="12"/>
    </row>
    <row r="3">
      <c r="A3" s="13" t="s">
        <v>60</v>
      </c>
      <c r="B3" s="14">
        <v>10000.0</v>
      </c>
    </row>
    <row r="4">
      <c r="A4" s="13" t="s">
        <v>61</v>
      </c>
      <c r="B4" s="14">
        <v>32.0</v>
      </c>
    </row>
    <row r="5">
      <c r="A5" s="13" t="s">
        <v>62</v>
      </c>
      <c r="B5" s="14">
        <v>24.0</v>
      </c>
    </row>
    <row r="6">
      <c r="A6" s="13" t="s">
        <v>63</v>
      </c>
      <c r="B6" s="15">
        <v>175.0</v>
      </c>
    </row>
    <row r="7">
      <c r="A7" s="13" t="s">
        <v>64</v>
      </c>
      <c r="B7" s="15">
        <v>145.0</v>
      </c>
    </row>
    <row r="8">
      <c r="A8" s="13" t="s">
        <v>66</v>
      </c>
      <c r="B8" s="15">
        <v>1250000.0</v>
      </c>
    </row>
    <row r="9">
      <c r="A9" s="13" t="s">
        <v>67</v>
      </c>
      <c r="B9" s="14">
        <v>99.0</v>
      </c>
    </row>
    <row r="10">
      <c r="A10" s="13" t="s">
        <v>68</v>
      </c>
      <c r="B10" s="14">
        <v>0.0</v>
      </c>
    </row>
    <row r="11">
      <c r="A11" s="12"/>
      <c r="B11" s="12"/>
    </row>
    <row r="12">
      <c r="A12" s="16" t="s">
        <v>69</v>
      </c>
      <c r="B12" s="12">
        <f>AVERAGE('Daily Analysis'!$B$2:$B$33)</f>
        <v>48.09375</v>
      </c>
    </row>
    <row r="13">
      <c r="A13" s="16" t="s">
        <v>71</v>
      </c>
      <c r="B13" s="12">
        <f>AVERAGE('Daily Analysis'!$C$2:$C$33)</f>
        <v>43.4375</v>
      </c>
    </row>
    <row r="14">
      <c r="A14" s="16" t="s">
        <v>72</v>
      </c>
      <c r="B14" s="17">
        <f>AVERAGE('Daily Analysis'!$E$2:$E$33)</f>
        <v>95.28000611</v>
      </c>
    </row>
    <row r="15">
      <c r="A15" s="16" t="s">
        <v>74</v>
      </c>
      <c r="B15" s="17">
        <f>AVERAGE('Daily Analysis'!$F$2:$F$33)</f>
        <v>97.09927083</v>
      </c>
    </row>
    <row r="16">
      <c r="A16" s="12"/>
      <c r="B16" s="12"/>
    </row>
    <row r="17">
      <c r="A17" s="16" t="s">
        <v>75</v>
      </c>
      <c r="B17" s="12">
        <f>SUMPRODUCT(('Daily Analysis'!$B$2:$B$33-$B$12)*('Daily Analysis'!$B$2:$B$33-$B$12))/$B$4</f>
        <v>995.0849609</v>
      </c>
    </row>
    <row r="18">
      <c r="A18" s="16" t="s">
        <v>76</v>
      </c>
      <c r="B18" s="12">
        <f>SUMPRODUCT(('Daily Analysis'!$C$2:$C$33-$B$13)*('Daily Analysis'!$C$2:$C$33-$B$13))/$B$4</f>
        <v>873.5585938</v>
      </c>
    </row>
    <row r="19">
      <c r="A19" s="16" t="s">
        <v>77</v>
      </c>
      <c r="B19" s="12">
        <f>SUMPRODUCT(('Daily Analysis'!$B$2:$B$33-$B$12)*('Daily Analysis'!$C$2:$C$33-$B$13))/$B$4</f>
        <v>315.7714844</v>
      </c>
    </row>
    <row r="20">
      <c r="A20" s="16" t="s">
        <v>79</v>
      </c>
      <c r="B20" s="12">
        <f>SUMPRODUCT(('Daily Analysis'!$E$2:$E$33-$B$14)*('Daily Analysis'!$B$2:$B$33-$B$12))/$B$4</f>
        <v>7.44304766</v>
      </c>
    </row>
    <row r="21" ht="15.75" customHeight="1">
      <c r="A21" s="16" t="s">
        <v>80</v>
      </c>
      <c r="B21" s="12">
        <f>SUMPRODUCT(('Daily Analysis'!$E$2:$E$33-$B$14)*('Daily Analysis'!$C$2:$C$33-$B$13))/$B$4</f>
        <v>0.01551498811</v>
      </c>
    </row>
    <row r="22" ht="15.75" customHeight="1">
      <c r="A22" s="16" t="s">
        <v>81</v>
      </c>
      <c r="B22" s="12">
        <f>SUMPRODUCT(('Daily Analysis'!$F$2:$F$33-$B$15)*('Daily Analysis'!$B$2:$B$33-$B$12))/$B$4</f>
        <v>2.311292318</v>
      </c>
    </row>
    <row r="23" ht="15.75" customHeight="1">
      <c r="A23" s="16" t="s">
        <v>82</v>
      </c>
      <c r="B23" s="12">
        <f>SUMPRODUCT(('Daily Analysis'!$F$2:$F$33-$B$15)*('Daily Analysis'!$C$2:$C$33-$B$13))/$B$4</f>
        <v>0.3642851562</v>
      </c>
    </row>
    <row r="24" ht="15.75" customHeight="1">
      <c r="A24" s="12"/>
      <c r="B24" s="12"/>
    </row>
    <row r="25" ht="15.75" customHeight="1">
      <c r="A25" s="16" t="s">
        <v>84</v>
      </c>
      <c r="B25" s="12">
        <f>$B$17*$B$18-$B$19^2</f>
        <v>769553.3888</v>
      </c>
    </row>
    <row r="26" ht="15.75" customHeight="1">
      <c r="A26" s="16" t="s">
        <v>85</v>
      </c>
      <c r="B26" s="18">
        <f>($B$20*$B$18-$B$21*$B$19)/$B$25</f>
        <v>0.008442609897</v>
      </c>
    </row>
    <row r="27" ht="15.75" customHeight="1">
      <c r="A27" s="16" t="s">
        <v>86</v>
      </c>
      <c r="B27" s="18">
        <f>($B$21*$B$17-$B$20*$B$19)/$B$25</f>
        <v>-0.003034050023</v>
      </c>
    </row>
    <row r="28" ht="15.75" customHeight="1">
      <c r="A28" s="16" t="s">
        <v>87</v>
      </c>
      <c r="B28" s="18">
        <f>$B$14-$B$26*$B$12-$B$27*$B$13</f>
        <v>95.00576089</v>
      </c>
    </row>
    <row r="29" ht="15.75" customHeight="1">
      <c r="A29" s="16" t="s">
        <v>89</v>
      </c>
      <c r="B29" s="18">
        <f>($B$22*$B$18-$B$23*$B$19)/$B$25</f>
        <v>0.002474186236</v>
      </c>
    </row>
    <row r="30" ht="15.75" customHeight="1">
      <c r="A30" s="16" t="s">
        <v>90</v>
      </c>
      <c r="B30" s="18">
        <f>($B$23*$B$17-$B$22*$B$19)/$B$25</f>
        <v>-0.0004773489804</v>
      </c>
    </row>
    <row r="31" ht="15.75" customHeight="1">
      <c r="A31" s="16" t="s">
        <v>91</v>
      </c>
      <c r="B31" s="18">
        <f>$B$15-$B$29*$B$12-$B$30*$B$13</f>
        <v>97.00101279</v>
      </c>
    </row>
    <row r="32" ht="15.75" customHeight="1">
      <c r="A32" s="16" t="s">
        <v>92</v>
      </c>
      <c r="B32" s="18">
        <f>$B$28+$B$26*$B$9+$B$27*$B$10</f>
        <v>95.84157927</v>
      </c>
    </row>
    <row r="33" ht="15.75" customHeight="1">
      <c r="A33" s="16" t="s">
        <v>93</v>
      </c>
      <c r="B33" s="18">
        <f>$B$31+$B$29*$B$9+$B$30*$B$10</f>
        <v>97.24595722</v>
      </c>
    </row>
    <row r="34" ht="15.75" customHeight="1">
      <c r="A34" s="12"/>
      <c r="B34" s="12"/>
    </row>
    <row r="35" ht="15.75" customHeight="1">
      <c r="A35" s="16" t="s">
        <v>94</v>
      </c>
      <c r="B35" s="19">
        <f>1-SUMPRODUCT('Daily Analysis'!$K$2:$K$33,'Daily Analysis'!$K$2:$K$33)/SUMPRODUCT(('Daily Analysis'!$E$2:$E$33-$B$14)*('Daily Analysis'!$E$2:$E$33-$B$14))</f>
        <v>0.9945305242</v>
      </c>
    </row>
    <row r="36" ht="15.75" customHeight="1">
      <c r="A36" s="16" t="s">
        <v>96</v>
      </c>
      <c r="B36" s="19">
        <f>1-SUMPRODUCT('Daily Analysis'!$L$2:$L$33,'Daily Analysis'!$L$2:$L$33)/SUMPRODUCT(('Daily Analysis'!$F$2:$F$33-$B$15)*('Daily Analysis'!$F$2:$F$33-$B$15))</f>
        <v>0.918623138</v>
      </c>
    </row>
    <row r="37" ht="15.75" customHeight="1">
      <c r="A37" s="12"/>
      <c r="B37" s="12"/>
    </row>
    <row r="38" ht="15.75" customHeight="1">
      <c r="A38" s="16" t="s">
        <v>97</v>
      </c>
      <c r="B38" s="20">
        <f>MAX(0,$B$32-$B$14)</f>
        <v>0.5615731579</v>
      </c>
    </row>
    <row r="39" ht="15.75" customHeight="1">
      <c r="A39" s="16" t="s">
        <v>98</v>
      </c>
      <c r="B39" s="20">
        <f>$B$38/100*$B$3*$B$4*$B$5</f>
        <v>43128.81853</v>
      </c>
    </row>
    <row r="40" ht="15.75" customHeight="1">
      <c r="A40" s="16" t="s">
        <v>100</v>
      </c>
      <c r="B40" s="15">
        <f>$B$39*$B$6</f>
        <v>7547543.243</v>
      </c>
    </row>
    <row r="41" ht="15.75" customHeight="1">
      <c r="A41" s="16" t="s">
        <v>101</v>
      </c>
      <c r="B41" s="15">
        <f>MAX(0,$B$33-$B$15)</f>
        <v>0.1466863894</v>
      </c>
    </row>
    <row r="42" ht="15.75" customHeight="1">
      <c r="A42" s="16" t="s">
        <v>102</v>
      </c>
      <c r="B42" s="15">
        <f>$B$41/100*$B$3*$B$4*$B$5</f>
        <v>11265.51471</v>
      </c>
    </row>
    <row r="43" ht="15.75" customHeight="1">
      <c r="A43" s="16" t="s">
        <v>103</v>
      </c>
      <c r="B43" s="15">
        <f>$B$42*$B$7</f>
        <v>1633499.632</v>
      </c>
    </row>
    <row r="44" ht="15.75" customHeight="1">
      <c r="A44" s="16" t="s">
        <v>104</v>
      </c>
      <c r="B44" s="20">
        <f t="array" ref="B44">MAX(0,-INDEX('Operator Analysis'!$D$2:$D$25,MATCH("Barbara",'Operator Analysis'!$A$2:$A$25,0)))</f>
        <v>0.2383967391</v>
      </c>
    </row>
    <row r="45" ht="15.75" customHeight="1">
      <c r="A45" s="16" t="s">
        <v>106</v>
      </c>
      <c r="B45" s="12">
        <f>$B$44/100*$B$3*$B$4</f>
        <v>762.8695652</v>
      </c>
    </row>
    <row r="46" ht="15.75" customHeight="1">
      <c r="A46" s="16" t="s">
        <v>107</v>
      </c>
      <c r="B46" s="15">
        <f>$B$45*$B$6</f>
        <v>133502.1739</v>
      </c>
    </row>
    <row r="47" ht="15.75" customHeight="1">
      <c r="A47" s="16" t="s">
        <v>108</v>
      </c>
      <c r="B47" s="15">
        <f>$B$40+$B$43+$B$46</f>
        <v>9314545.049</v>
      </c>
    </row>
    <row r="48" ht="15.75" customHeight="1">
      <c r="A48" s="16" t="s">
        <v>66</v>
      </c>
      <c r="B48" s="15">
        <f>$B$8</f>
        <v>1250000</v>
      </c>
    </row>
    <row r="49" ht="15.75" customHeight="1">
      <c r="A49" s="16" t="s">
        <v>109</v>
      </c>
      <c r="B49" s="15">
        <f>$B$47-$B$48</f>
        <v>8064545.049</v>
      </c>
    </row>
    <row r="50" ht="15.75" customHeight="1">
      <c r="A50" s="16" t="s">
        <v>111</v>
      </c>
      <c r="B50" s="12" t="s">
        <v>112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3" width="14.0"/>
    <col customWidth="1" min="4" max="6" width="20.0"/>
    <col customWidth="1" min="7" max="8" width="14.0"/>
    <col customWidth="1" min="9" max="12" width="18.0"/>
    <col customWidth="1" min="13" max="13" width="8.63"/>
    <col customWidth="1" min="14" max="22" width="18.0"/>
    <col customWidth="1" min="23" max="26" width="8.63"/>
  </cols>
  <sheetData>
    <row r="1" ht="27.75" customHeight="1">
      <c r="A1" s="6" t="s">
        <v>115</v>
      </c>
      <c r="B1" s="6" t="s">
        <v>57</v>
      </c>
      <c r="C1" s="6" t="s">
        <v>70</v>
      </c>
      <c r="D1" s="6" t="s">
        <v>117</v>
      </c>
      <c r="E1" s="6" t="s">
        <v>118</v>
      </c>
      <c r="F1" s="6" t="s">
        <v>119</v>
      </c>
      <c r="G1" s="6" t="s">
        <v>120</v>
      </c>
      <c r="H1" s="6" t="s">
        <v>121</v>
      </c>
      <c r="I1" s="6" t="s">
        <v>122</v>
      </c>
      <c r="J1" s="6" t="s">
        <v>123</v>
      </c>
      <c r="K1" s="6" t="s">
        <v>124</v>
      </c>
      <c r="L1" s="6" t="s">
        <v>125</v>
      </c>
      <c r="N1" s="21" t="s">
        <v>120</v>
      </c>
      <c r="O1" s="21" t="s">
        <v>117</v>
      </c>
      <c r="P1" s="21" t="s">
        <v>119</v>
      </c>
      <c r="Q1" s="21" t="s">
        <v>61</v>
      </c>
      <c r="S1" s="21" t="s">
        <v>121</v>
      </c>
      <c r="T1" s="21" t="s">
        <v>117</v>
      </c>
      <c r="U1" s="21" t="s">
        <v>119</v>
      </c>
      <c r="V1" s="21" t="s">
        <v>61</v>
      </c>
    </row>
    <row r="2">
      <c r="A2" s="10">
        <v>1.0</v>
      </c>
      <c r="B2" s="10">
        <v>64.0</v>
      </c>
      <c r="C2" s="10">
        <v>35.0</v>
      </c>
      <c r="D2" s="8">
        <f>AVERAGE('Apache Raw'!B$2:B$25)</f>
        <v>95.44941667</v>
      </c>
      <c r="E2" s="8">
        <f>(SUM('Apache Raw'!B$2:B$25)-'Apache Raw'!B$17)/('Assumptions &amp; Model'!$B$5-1)</f>
        <v>95.46073913</v>
      </c>
      <c r="F2" s="8">
        <f>AVERAGE('Odyssey Raw'!B$2:B$25)</f>
        <v>97.15625</v>
      </c>
      <c r="G2" s="10" t="str">
        <f t="shared" ref="G2:H2" si="1">IF(B2&lt;33,"Low",IF(B2&lt;67,"Medium","High"))</f>
        <v>Medium</v>
      </c>
      <c r="H2" s="10" t="str">
        <f t="shared" si="1"/>
        <v>Medium</v>
      </c>
      <c r="I2" s="23">
        <f>'Assumptions &amp; Model'!$B$28+'Assumptions &amp; Model'!$B$26*B2+'Assumptions &amp; Model'!$B$27*C2</f>
        <v>95.43989617</v>
      </c>
      <c r="J2" s="23">
        <f>'Assumptions &amp; Model'!$B$31+'Assumptions &amp; Model'!$B$29*B2+'Assumptions &amp; Model'!$B$30*C2</f>
        <v>97.14265349</v>
      </c>
      <c r="K2" s="23">
        <f t="shared" ref="K2:L2" si="2">E2-I2</f>
        <v>0.02084295556</v>
      </c>
      <c r="L2" s="23">
        <f t="shared" si="2"/>
        <v>0.01359650983</v>
      </c>
      <c r="N2" s="12" t="s">
        <v>138</v>
      </c>
      <c r="O2" s="17">
        <f t="shared" ref="O2:O4" si="5">AVERAGEIF($G$2:$G$33,N2,$D$2:$D$33)</f>
        <v>95.01733333</v>
      </c>
      <c r="P2" s="17">
        <f t="shared" ref="P2:P4" si="6">AVERAGEIF($G$2:$G$33,N2,$F$2:$F$33)</f>
        <v>97.02242361</v>
      </c>
      <c r="Q2" s="12">
        <f t="shared" ref="Q2:Q4" si="7">COUNTIF($G$2:$G$33,N2)</f>
        <v>12</v>
      </c>
      <c r="S2" s="12" t="s">
        <v>138</v>
      </c>
      <c r="T2" s="17">
        <f t="shared" ref="T2:T4" si="8">AVERAGEIF($H$2:$H$33,S2,$D$2:$D$33)</f>
        <v>95.25148611</v>
      </c>
      <c r="U2" s="17">
        <f t="shared" ref="U2:U4" si="9">AVERAGEIF($H$2:$H$33,S2,$F$2:$F$33)</f>
        <v>97.07975</v>
      </c>
      <c r="V2" s="12">
        <f t="shared" ref="V2:V4" si="10">COUNTIF($H$2:$H$33,S2)</f>
        <v>12</v>
      </c>
    </row>
    <row r="3">
      <c r="A3" s="10">
        <v>2.0</v>
      </c>
      <c r="B3" s="10">
        <v>5.0</v>
      </c>
      <c r="C3" s="10">
        <v>4.0</v>
      </c>
      <c r="D3" s="8">
        <f>AVERAGE('Apache Raw'!C$2:C$25)</f>
        <v>95.013</v>
      </c>
      <c r="E3" s="8">
        <f>(SUM('Apache Raw'!C$2:C$25)-'Apache Raw'!C$17)/('Assumptions &amp; Model'!$B$5-1)</f>
        <v>95.0278913</v>
      </c>
      <c r="F3" s="8">
        <f>AVERAGE('Odyssey Raw'!C$2:C$25)</f>
        <v>96.97258333</v>
      </c>
      <c r="G3" s="10" t="str">
        <f t="shared" ref="G3:H3" si="3">IF(B3&lt;33,"Low",IF(B3&lt;67,"Medium","High"))</f>
        <v>Low</v>
      </c>
      <c r="H3" s="10" t="str">
        <f t="shared" si="3"/>
        <v>Low</v>
      </c>
      <c r="I3" s="23">
        <f>'Assumptions &amp; Model'!$B$28+'Assumptions &amp; Model'!$B$26*B3+'Assumptions &amp; Model'!$B$27*C3</f>
        <v>95.03583774</v>
      </c>
      <c r="J3" s="23">
        <f>'Assumptions &amp; Model'!$B$31+'Assumptions &amp; Model'!$B$29*B3+'Assumptions &amp; Model'!$B$30*C3</f>
        <v>97.01147432</v>
      </c>
      <c r="K3" s="23">
        <f t="shared" ref="K3:L3" si="4">E3-I3</f>
        <v>-0.007946437291</v>
      </c>
      <c r="L3" s="23">
        <f t="shared" si="4"/>
        <v>-0.03889098732</v>
      </c>
      <c r="N3" s="12" t="s">
        <v>143</v>
      </c>
      <c r="O3" s="17">
        <f t="shared" si="5"/>
        <v>95.24666667</v>
      </c>
      <c r="P3" s="17">
        <f t="shared" si="6"/>
        <v>97.08961458</v>
      </c>
      <c r="Q3" s="12">
        <f t="shared" si="7"/>
        <v>8</v>
      </c>
      <c r="S3" s="12" t="s">
        <v>143</v>
      </c>
      <c r="T3" s="17">
        <f t="shared" si="8"/>
        <v>95.23584091</v>
      </c>
      <c r="U3" s="17">
        <f t="shared" si="9"/>
        <v>97.09236364</v>
      </c>
      <c r="V3" s="12">
        <f t="shared" si="10"/>
        <v>11</v>
      </c>
    </row>
    <row r="4">
      <c r="A4" s="10">
        <v>3.0</v>
      </c>
      <c r="B4" s="10">
        <v>1.0</v>
      </c>
      <c r="C4" s="10">
        <v>21.0</v>
      </c>
      <c r="D4" s="8">
        <f>AVERAGE('Apache Raw'!D$2:D$25)</f>
        <v>94.92466667</v>
      </c>
      <c r="E4" s="8">
        <f>(SUM('Apache Raw'!D$2:D$25)-'Apache Raw'!D$17)/('Assumptions &amp; Model'!$B$5-1)</f>
        <v>94.93636957</v>
      </c>
      <c r="F4" s="8">
        <f>AVERAGE('Odyssey Raw'!D$2:D$25)</f>
        <v>96.97408333</v>
      </c>
      <c r="G4" s="10" t="str">
        <f t="shared" ref="G4:H4" si="11">IF(B4&lt;33,"Low",IF(B4&lt;67,"Medium","High"))</f>
        <v>Low</v>
      </c>
      <c r="H4" s="10" t="str">
        <f t="shared" si="11"/>
        <v>Low</v>
      </c>
      <c r="I4" s="23">
        <f>'Assumptions &amp; Model'!$B$28+'Assumptions &amp; Model'!$B$26*B4+'Assumptions &amp; Model'!$B$27*C4</f>
        <v>94.95048845</v>
      </c>
      <c r="J4" s="23">
        <f>'Assumptions &amp; Model'!$B$31+'Assumptions &amp; Model'!$B$29*B4+'Assumptions &amp; Model'!$B$30*C4</f>
        <v>96.99346264</v>
      </c>
      <c r="K4" s="23">
        <f t="shared" ref="K4:L4" si="12">E4-I4</f>
        <v>-0.01411888645</v>
      </c>
      <c r="L4" s="23">
        <f t="shared" si="12"/>
        <v>-0.01937930971</v>
      </c>
      <c r="N4" s="12" t="s">
        <v>145</v>
      </c>
      <c r="O4" s="17">
        <f t="shared" si="5"/>
        <v>95.53841667</v>
      </c>
      <c r="P4" s="17">
        <f t="shared" si="6"/>
        <v>97.18255556</v>
      </c>
      <c r="Q4" s="12">
        <f t="shared" si="7"/>
        <v>12</v>
      </c>
      <c r="S4" s="12" t="s">
        <v>145</v>
      </c>
      <c r="T4" s="17">
        <f t="shared" si="8"/>
        <v>95.33669444</v>
      </c>
      <c r="U4" s="17">
        <f t="shared" si="9"/>
        <v>97.13374074</v>
      </c>
      <c r="V4" s="12">
        <f t="shared" si="10"/>
        <v>9</v>
      </c>
    </row>
    <row r="5">
      <c r="A5" s="10">
        <v>4.0</v>
      </c>
      <c r="B5" s="10">
        <v>23.0</v>
      </c>
      <c r="C5" s="10">
        <v>0.0</v>
      </c>
      <c r="D5" s="8">
        <f>AVERAGE('Apache Raw'!E$2:E$25)</f>
        <v>95.188</v>
      </c>
      <c r="E5" s="8">
        <f>(SUM('Apache Raw'!E$2:E$25)-'Apache Raw'!E$17)/('Assumptions &amp; Model'!$B$5-1)</f>
        <v>95.19854348</v>
      </c>
      <c r="F5" s="8">
        <f>AVERAGE('Odyssey Raw'!E$2:E$25)</f>
        <v>97.03416667</v>
      </c>
      <c r="G5" s="10" t="str">
        <f t="shared" ref="G5:H5" si="13">IF(B5&lt;33,"Low",IF(B5&lt;67,"Medium","High"))</f>
        <v>Low</v>
      </c>
      <c r="H5" s="10" t="str">
        <f t="shared" si="13"/>
        <v>Low</v>
      </c>
      <c r="I5" s="23">
        <f>'Assumptions &amp; Model'!$B$28+'Assumptions &amp; Model'!$B$26*B5+'Assumptions &amp; Model'!$B$27*C5</f>
        <v>95.19994092</v>
      </c>
      <c r="J5" s="23">
        <f>'Assumptions &amp; Model'!$B$31+'Assumptions &amp; Model'!$B$29*B5+'Assumptions &amp; Model'!$B$30*C5</f>
        <v>97.05791907</v>
      </c>
      <c r="K5" s="23">
        <f t="shared" ref="K5:L5" si="14">E5-I5</f>
        <v>-0.001397441619</v>
      </c>
      <c r="L5" s="23">
        <f t="shared" si="14"/>
        <v>-0.02375240215</v>
      </c>
    </row>
    <row r="6">
      <c r="A6" s="10">
        <v>5.0</v>
      </c>
      <c r="B6" s="10">
        <v>77.0</v>
      </c>
      <c r="C6" s="10">
        <v>6.0</v>
      </c>
      <c r="D6" s="8">
        <f>AVERAGE('Apache Raw'!F$2:F$25)</f>
        <v>95.6315</v>
      </c>
      <c r="E6" s="8">
        <f>(SUM('Apache Raw'!F$2:F$25)-'Apache Raw'!F$17)/('Assumptions &amp; Model'!$B$5-1)</f>
        <v>95.64215217</v>
      </c>
      <c r="F6" s="8">
        <f>AVERAGE('Odyssey Raw'!F$2:F$25)</f>
        <v>97.18533333</v>
      </c>
      <c r="G6" s="10" t="str">
        <f t="shared" ref="G6:H6" si="15">IF(B6&lt;33,"Low",IF(B6&lt;67,"Medium","High"))</f>
        <v>High</v>
      </c>
      <c r="H6" s="10" t="str">
        <f t="shared" si="15"/>
        <v>Low</v>
      </c>
      <c r="I6" s="23">
        <f>'Assumptions &amp; Model'!$B$28+'Assumptions &amp; Model'!$B$26*B6+'Assumptions &amp; Model'!$B$27*C6</f>
        <v>95.63763755</v>
      </c>
      <c r="J6" s="23">
        <f>'Assumptions &amp; Model'!$B$31+'Assumptions &amp; Model'!$B$29*B6+'Assumptions &amp; Model'!$B$30*C6</f>
        <v>97.18866103</v>
      </c>
      <c r="K6" s="23">
        <f t="shared" ref="K6:L6" si="16">E6-I6</f>
        <v>0.004514619718</v>
      </c>
      <c r="L6" s="23">
        <f t="shared" si="16"/>
        <v>-0.003327698333</v>
      </c>
    </row>
    <row r="7">
      <c r="A7" s="10">
        <v>6.0</v>
      </c>
      <c r="B7" s="10">
        <v>97.0</v>
      </c>
      <c r="C7" s="10">
        <v>82.0</v>
      </c>
      <c r="D7" s="8">
        <f>AVERAGE('Apache Raw'!G$2:G$25)</f>
        <v>95.58308333</v>
      </c>
      <c r="E7" s="8">
        <f>(SUM('Apache Raw'!G$2:G$25)-'Apache Raw'!G$17)/('Assumptions &amp; Model'!$B$5-1)</f>
        <v>95.59676087</v>
      </c>
      <c r="F7" s="8">
        <f>AVERAGE('Odyssey Raw'!G$2:G$25)</f>
        <v>97.19691667</v>
      </c>
      <c r="G7" s="10" t="str">
        <f t="shared" ref="G7:H7" si="17">IF(B7&lt;33,"Low",IF(B7&lt;67,"Medium","High"))</f>
        <v>High</v>
      </c>
      <c r="H7" s="10" t="str">
        <f t="shared" si="17"/>
        <v>High</v>
      </c>
      <c r="I7" s="23">
        <f>'Assumptions &amp; Model'!$B$28+'Assumptions &amp; Model'!$B$26*B7+'Assumptions &amp; Model'!$B$27*C7</f>
        <v>95.57590195</v>
      </c>
      <c r="J7" s="23">
        <f>'Assumptions &amp; Model'!$B$31+'Assumptions &amp; Model'!$B$29*B7+'Assumptions &amp; Model'!$B$30*C7</f>
        <v>97.20186623</v>
      </c>
      <c r="K7" s="23">
        <f t="shared" ref="K7:L7" si="18">E7-I7</f>
        <v>0.02085891915</v>
      </c>
      <c r="L7" s="23">
        <f t="shared" si="18"/>
        <v>-0.004949567205</v>
      </c>
    </row>
    <row r="8">
      <c r="A8" s="10">
        <v>7.0</v>
      </c>
      <c r="B8" s="10">
        <v>10.0</v>
      </c>
      <c r="C8" s="10">
        <v>20.0</v>
      </c>
      <c r="D8" s="8">
        <f>AVERAGE('Apache Raw'!H$2:H$25)</f>
        <v>95.01666667</v>
      </c>
      <c r="E8" s="8">
        <f>(SUM('Apache Raw'!H$2:H$25)-'Apache Raw'!H$17)/('Assumptions &amp; Model'!$B$5-1)</f>
        <v>95.02630435</v>
      </c>
      <c r="F8" s="8">
        <f>AVERAGE('Odyssey Raw'!H$2:H$25)</f>
        <v>97.05458333</v>
      </c>
      <c r="G8" s="10" t="str">
        <f t="shared" ref="G8:H8" si="19">IF(B8&lt;33,"Low",IF(B8&lt;67,"Medium","High"))</f>
        <v>Low</v>
      </c>
      <c r="H8" s="10" t="str">
        <f t="shared" si="19"/>
        <v>Low</v>
      </c>
      <c r="I8" s="23">
        <f>'Assumptions &amp; Model'!$B$28+'Assumptions &amp; Model'!$B$26*B8+'Assumptions &amp; Model'!$B$27*C8</f>
        <v>95.02950599</v>
      </c>
      <c r="J8" s="23">
        <f>'Assumptions &amp; Model'!$B$31+'Assumptions &amp; Model'!$B$29*B8+'Assumptions &amp; Model'!$B$30*C8</f>
        <v>97.01620767</v>
      </c>
      <c r="K8" s="23">
        <f t="shared" ref="K8:L8" si="20">E8-I8</f>
        <v>-0.003201642937</v>
      </c>
      <c r="L8" s="23">
        <f t="shared" si="20"/>
        <v>0.03837566519</v>
      </c>
    </row>
    <row r="9">
      <c r="A9" s="10">
        <v>8.0</v>
      </c>
      <c r="B9" s="10">
        <v>90.0</v>
      </c>
      <c r="C9" s="10">
        <v>6.0</v>
      </c>
      <c r="D9" s="8">
        <f>AVERAGE('Apache Raw'!I$2:I$25)</f>
        <v>95.75616667</v>
      </c>
      <c r="E9" s="8">
        <f>(SUM('Apache Raw'!I$2:I$25)-'Apache Raw'!I$17)/('Assumptions &amp; Model'!$B$5-1)</f>
        <v>95.76352174</v>
      </c>
      <c r="F9" s="8">
        <f>AVERAGE('Odyssey Raw'!I$2:I$25)</f>
        <v>97.20991667</v>
      </c>
      <c r="G9" s="10" t="str">
        <f t="shared" ref="G9:H9" si="21">IF(B9&lt;33,"Low",IF(B9&lt;67,"Medium","High"))</f>
        <v>High</v>
      </c>
      <c r="H9" s="10" t="str">
        <f t="shared" si="21"/>
        <v>Low</v>
      </c>
      <c r="I9" s="23">
        <f>'Assumptions &amp; Model'!$B$28+'Assumptions &amp; Model'!$B$26*B9+'Assumptions &amp; Model'!$B$27*C9</f>
        <v>95.74739148</v>
      </c>
      <c r="J9" s="23">
        <f>'Assumptions &amp; Model'!$B$31+'Assumptions &amp; Model'!$B$29*B9+'Assumptions &amp; Model'!$B$30*C9</f>
        <v>97.22082545</v>
      </c>
      <c r="K9" s="23">
        <f t="shared" ref="K9:L9" si="22">E9-I9</f>
        <v>0.01613025627</v>
      </c>
      <c r="L9" s="23">
        <f t="shared" si="22"/>
        <v>-0.01090878607</v>
      </c>
    </row>
    <row r="10">
      <c r="A10" s="10">
        <v>9.0</v>
      </c>
      <c r="B10" s="10">
        <v>36.0</v>
      </c>
      <c r="C10" s="10">
        <v>21.0</v>
      </c>
      <c r="D10" s="8">
        <f>AVERAGE('Apache Raw'!J$2:J$25)</f>
        <v>95.22216667</v>
      </c>
      <c r="E10" s="8">
        <f>(SUM('Apache Raw'!J$2:J$25)-'Apache Raw'!J$17)/('Assumptions &amp; Model'!$B$5-1)</f>
        <v>95.23082609</v>
      </c>
      <c r="F10" s="8">
        <f>AVERAGE('Odyssey Raw'!J$2:J$25)</f>
        <v>97.04575</v>
      </c>
      <c r="G10" s="10" t="str">
        <f t="shared" ref="G10:H10" si="23">IF(B10&lt;33,"Low",IF(B10&lt;67,"Medium","High"))</f>
        <v>Medium</v>
      </c>
      <c r="H10" s="10" t="str">
        <f t="shared" si="23"/>
        <v>Low</v>
      </c>
      <c r="I10" s="23">
        <f>'Assumptions &amp; Model'!$B$28+'Assumptions &amp; Model'!$B$26*B10+'Assumptions &amp; Model'!$B$27*C10</f>
        <v>95.2459798</v>
      </c>
      <c r="J10" s="23">
        <f>'Assumptions &amp; Model'!$B$31+'Assumptions &amp; Model'!$B$29*B10+'Assumptions &amp; Model'!$B$30*C10</f>
        <v>97.08005916</v>
      </c>
      <c r="K10" s="23">
        <f t="shared" ref="K10:L10" si="24">E10-I10</f>
        <v>-0.01515371111</v>
      </c>
      <c r="L10" s="23">
        <f t="shared" si="24"/>
        <v>-0.03430916129</v>
      </c>
    </row>
    <row r="11">
      <c r="A11" s="10">
        <v>10.0</v>
      </c>
      <c r="B11" s="10">
        <v>9.0</v>
      </c>
      <c r="C11" s="10">
        <v>43.0</v>
      </c>
      <c r="D11" s="8">
        <f>AVERAGE('Apache Raw'!K$2:K$25)</f>
        <v>94.96708333</v>
      </c>
      <c r="E11" s="8">
        <f>(SUM('Apache Raw'!K$2:K$25)-'Apache Raw'!K$17)/('Assumptions &amp; Model'!$B$5-1)</f>
        <v>94.97967391</v>
      </c>
      <c r="F11" s="8">
        <f>AVERAGE('Odyssey Raw'!K$2:K$25)</f>
        <v>97.0135</v>
      </c>
      <c r="G11" s="10" t="str">
        <f t="shared" ref="G11:H11" si="25">IF(B11&lt;33,"Low",IF(B11&lt;67,"Medium","High"))</f>
        <v>Low</v>
      </c>
      <c r="H11" s="10" t="str">
        <f t="shared" si="25"/>
        <v>Medium</v>
      </c>
      <c r="I11" s="23">
        <f>'Assumptions &amp; Model'!$B$28+'Assumptions &amp; Model'!$B$26*B11+'Assumptions &amp; Model'!$B$27*C11</f>
        <v>94.95128023</v>
      </c>
      <c r="J11" s="23">
        <f>'Assumptions &amp; Model'!$B$31+'Assumptions &amp; Model'!$B$29*B11+'Assumptions &amp; Model'!$B$30*C11</f>
        <v>97.00275446</v>
      </c>
      <c r="K11" s="23">
        <f t="shared" ref="K11:L11" si="26">E11-I11</f>
        <v>0.0283936827</v>
      </c>
      <c r="L11" s="23">
        <f t="shared" si="26"/>
        <v>0.01074554464</v>
      </c>
    </row>
    <row r="12">
      <c r="A12" s="10">
        <v>11.0</v>
      </c>
      <c r="B12" s="10">
        <v>70.0</v>
      </c>
      <c r="C12" s="10">
        <v>33.0</v>
      </c>
      <c r="D12" s="8">
        <f>AVERAGE('Apache Raw'!L$2:L$25)</f>
        <v>95.456</v>
      </c>
      <c r="E12" s="8">
        <f>(SUM('Apache Raw'!L$2:L$25)-'Apache Raw'!L$17)/('Assumptions &amp; Model'!$B$5-1)</f>
        <v>95.47295652</v>
      </c>
      <c r="F12" s="8">
        <f>AVERAGE('Odyssey Raw'!L$2:L$25)</f>
        <v>97.1735</v>
      </c>
      <c r="G12" s="10" t="str">
        <f t="shared" ref="G12:H12" si="27">IF(B12&lt;33,"Low",IF(B12&lt;67,"Medium","High"))</f>
        <v>High</v>
      </c>
      <c r="H12" s="10" t="str">
        <f t="shared" si="27"/>
        <v>Medium</v>
      </c>
      <c r="I12" s="23">
        <f>'Assumptions &amp; Model'!$B$28+'Assumptions &amp; Model'!$B$26*B12+'Assumptions &amp; Model'!$B$27*C12</f>
        <v>95.49661993</v>
      </c>
      <c r="J12" s="23">
        <f>'Assumptions &amp; Model'!$B$31+'Assumptions &amp; Model'!$B$29*B12+'Assumptions &amp; Model'!$B$30*C12</f>
        <v>97.15845331</v>
      </c>
      <c r="K12" s="23">
        <f t="shared" ref="K12:L12" si="28">E12-I12</f>
        <v>-0.02366341256</v>
      </c>
      <c r="L12" s="23">
        <f t="shared" si="28"/>
        <v>0.01504669446</v>
      </c>
    </row>
    <row r="13">
      <c r="A13" s="10">
        <v>12.0</v>
      </c>
      <c r="B13" s="10">
        <v>19.0</v>
      </c>
      <c r="C13" s="10">
        <v>43.0</v>
      </c>
      <c r="D13" s="8">
        <f>AVERAGE('Apache Raw'!M$2:M$25)</f>
        <v>95.07083333</v>
      </c>
      <c r="E13" s="8">
        <f>(SUM('Apache Raw'!M$2:M$25)-'Apache Raw'!M$17)/('Assumptions &amp; Model'!$B$5-1)</f>
        <v>95.07467391</v>
      </c>
      <c r="F13" s="8">
        <f>AVERAGE('Odyssey Raw'!M$2:M$25)</f>
        <v>97.04475</v>
      </c>
      <c r="G13" s="10" t="str">
        <f t="shared" ref="G13:H13" si="29">IF(B13&lt;33,"Low",IF(B13&lt;67,"Medium","High"))</f>
        <v>Low</v>
      </c>
      <c r="H13" s="10" t="str">
        <f t="shared" si="29"/>
        <v>Medium</v>
      </c>
      <c r="I13" s="23">
        <f>'Assumptions &amp; Model'!$B$28+'Assumptions &amp; Model'!$B$26*B13+'Assumptions &amp; Model'!$B$27*C13</f>
        <v>95.03570633</v>
      </c>
      <c r="J13" s="23">
        <f>'Assumptions &amp; Model'!$B$31+'Assumptions &amp; Model'!$B$29*B13+'Assumptions &amp; Model'!$B$30*C13</f>
        <v>97.02749632</v>
      </c>
      <c r="K13" s="23">
        <f t="shared" ref="K13:L13" si="30">E13-I13</f>
        <v>0.03896758373</v>
      </c>
      <c r="L13" s="23">
        <f t="shared" si="30"/>
        <v>0.01725368229</v>
      </c>
    </row>
    <row r="14">
      <c r="A14" s="10">
        <v>13.0</v>
      </c>
      <c r="B14" s="10">
        <v>83.0</v>
      </c>
      <c r="C14" s="10">
        <v>93.0</v>
      </c>
      <c r="D14" s="8">
        <f>AVERAGE('Apache Raw'!N$2:N$25)</f>
        <v>95.37358333</v>
      </c>
      <c r="E14" s="8">
        <f>(SUM('Apache Raw'!N$2:N$25)-'Apache Raw'!N$17)/('Assumptions &amp; Model'!$B$5-1)</f>
        <v>95.38476087</v>
      </c>
      <c r="F14" s="8">
        <f>AVERAGE('Odyssey Raw'!N$2:N$25)</f>
        <v>97.14016667</v>
      </c>
      <c r="G14" s="10" t="str">
        <f t="shared" ref="G14:H14" si="31">IF(B14&lt;33,"Low",IF(B14&lt;67,"Medium","High"))</f>
        <v>High</v>
      </c>
      <c r="H14" s="10" t="str">
        <f t="shared" si="31"/>
        <v>High</v>
      </c>
      <c r="I14" s="23">
        <f>'Assumptions &amp; Model'!$B$28+'Assumptions &amp; Model'!$B$26*B14+'Assumptions &amp; Model'!$B$27*C14</f>
        <v>95.42433086</v>
      </c>
      <c r="J14" s="23">
        <f>'Assumptions &amp; Model'!$B$31+'Assumptions &amp; Model'!$B$29*B14+'Assumptions &amp; Model'!$B$30*C14</f>
        <v>97.16197679</v>
      </c>
      <c r="K14" s="23">
        <f t="shared" ref="K14:L14" si="32">E14-I14</f>
        <v>-0.03956999204</v>
      </c>
      <c r="L14" s="23">
        <f t="shared" si="32"/>
        <v>-0.02181012112</v>
      </c>
    </row>
    <row r="15">
      <c r="A15" s="10">
        <v>14.0</v>
      </c>
      <c r="B15" s="10">
        <v>21.0</v>
      </c>
      <c r="C15" s="10">
        <v>9.0</v>
      </c>
      <c r="D15" s="8">
        <f>AVERAGE('Apache Raw'!O$2:O$25)</f>
        <v>95.14108333</v>
      </c>
      <c r="E15" s="8">
        <f>(SUM('Apache Raw'!O$2:O$25)-'Apache Raw'!O$17)/('Assumptions &amp; Model'!$B$5-1)</f>
        <v>95.14584783</v>
      </c>
      <c r="F15" s="8">
        <f>AVERAGE('Odyssey Raw'!O$2:O$25)</f>
        <v>97.01425</v>
      </c>
      <c r="G15" s="10" t="str">
        <f t="shared" ref="G15:H15" si="33">IF(B15&lt;33,"Low",IF(B15&lt;67,"Medium","High"))</f>
        <v>Low</v>
      </c>
      <c r="H15" s="10" t="str">
        <f t="shared" si="33"/>
        <v>Low</v>
      </c>
      <c r="I15" s="23">
        <f>'Assumptions &amp; Model'!$B$28+'Assumptions &amp; Model'!$B$26*B15+'Assumptions &amp; Model'!$B$27*C15</f>
        <v>95.15574925</v>
      </c>
      <c r="J15" s="23">
        <f>'Assumptions &amp; Model'!$B$31+'Assumptions &amp; Model'!$B$29*B15+'Assumptions &amp; Model'!$B$30*C15</f>
        <v>97.04867456</v>
      </c>
      <c r="K15" s="23">
        <f t="shared" ref="K15:L15" si="34">E15-I15</f>
        <v>-0.009901423794</v>
      </c>
      <c r="L15" s="23">
        <f t="shared" si="34"/>
        <v>-0.03442455552</v>
      </c>
    </row>
    <row r="16">
      <c r="A16" s="10">
        <v>15.0</v>
      </c>
      <c r="B16" s="10">
        <v>85.0</v>
      </c>
      <c r="C16" s="10">
        <v>40.0</v>
      </c>
      <c r="D16" s="8">
        <f>AVERAGE('Apache Raw'!P$2:P$25)</f>
        <v>95.61791667</v>
      </c>
      <c r="E16" s="8">
        <f>(SUM('Apache Raw'!P$2:P$25)-'Apache Raw'!P$17)/('Assumptions &amp; Model'!$B$5-1)</f>
        <v>95.62902174</v>
      </c>
      <c r="F16" s="8">
        <f>AVERAGE('Odyssey Raw'!P$2:P$25)</f>
        <v>97.22916667</v>
      </c>
      <c r="G16" s="10" t="str">
        <f t="shared" ref="G16:H16" si="35">IF(B16&lt;33,"Low",IF(B16&lt;67,"Medium","High"))</f>
        <v>High</v>
      </c>
      <c r="H16" s="10" t="str">
        <f t="shared" si="35"/>
        <v>Medium</v>
      </c>
      <c r="I16" s="23">
        <f>'Assumptions &amp; Model'!$B$28+'Assumptions &amp; Model'!$B$26*B16+'Assumptions &amp; Model'!$B$27*C16</f>
        <v>95.60202073</v>
      </c>
      <c r="J16" s="23">
        <f>'Assumptions &amp; Model'!$B$31+'Assumptions &amp; Model'!$B$29*B16+'Assumptions &amp; Model'!$B$30*C16</f>
        <v>97.19222466</v>
      </c>
      <c r="K16" s="23">
        <f t="shared" ref="K16:L16" si="36">E16-I16</f>
        <v>0.02700100653</v>
      </c>
      <c r="L16" s="23">
        <f t="shared" si="36"/>
        <v>0.03694201045</v>
      </c>
    </row>
    <row r="17">
      <c r="A17" s="10">
        <v>16.0</v>
      </c>
      <c r="B17" s="10">
        <v>36.0</v>
      </c>
      <c r="C17" s="10">
        <v>66.0</v>
      </c>
      <c r="D17" s="8">
        <f>AVERAGE('Apache Raw'!Q$2:Q$25)</f>
        <v>95.10633333</v>
      </c>
      <c r="E17" s="8">
        <f>(SUM('Apache Raw'!Q$2:Q$25)-'Apache Raw'!Q$17)/('Assumptions &amp; Model'!$B$5-1)</f>
        <v>95.11321739</v>
      </c>
      <c r="F17" s="8">
        <f>AVERAGE('Odyssey Raw'!Q$2:Q$25)</f>
        <v>97.03116667</v>
      </c>
      <c r="G17" s="10" t="str">
        <f t="shared" ref="G17:H17" si="37">IF(B17&lt;33,"Low",IF(B17&lt;67,"Medium","High"))</f>
        <v>Medium</v>
      </c>
      <c r="H17" s="10" t="str">
        <f t="shared" si="37"/>
        <v>Medium</v>
      </c>
      <c r="I17" s="23">
        <f>'Assumptions &amp; Model'!$B$28+'Assumptions &amp; Model'!$B$26*B17+'Assumptions &amp; Model'!$B$27*C17</f>
        <v>95.10944755</v>
      </c>
      <c r="J17" s="23">
        <f>'Assumptions &amp; Model'!$B$31+'Assumptions &amp; Model'!$B$29*B17+'Assumptions &amp; Model'!$B$30*C17</f>
        <v>97.05857846</v>
      </c>
      <c r="K17" s="23">
        <f t="shared" ref="K17:L17" si="38">E17-I17</f>
        <v>0.003769844254</v>
      </c>
      <c r="L17" s="23">
        <f t="shared" si="38"/>
        <v>-0.02741179051</v>
      </c>
    </row>
    <row r="18">
      <c r="A18" s="10">
        <v>17.0</v>
      </c>
      <c r="B18" s="10">
        <v>71.0</v>
      </c>
      <c r="C18" s="10">
        <v>53.0</v>
      </c>
      <c r="D18" s="8">
        <f>AVERAGE('Apache Raw'!R$2:R$25)</f>
        <v>95.43158333</v>
      </c>
      <c r="E18" s="8">
        <f>(SUM('Apache Raw'!R$2:R$25)-'Apache Raw'!R$17)/('Assumptions &amp; Model'!$B$5-1)</f>
        <v>95.44580435</v>
      </c>
      <c r="F18" s="8">
        <f>AVERAGE('Odyssey Raw'!R$2:R$25)</f>
        <v>97.14183333</v>
      </c>
      <c r="G18" s="10" t="str">
        <f t="shared" ref="G18:H18" si="39">IF(B18&lt;33,"Low",IF(B18&lt;67,"Medium","High"))</f>
        <v>High</v>
      </c>
      <c r="H18" s="10" t="str">
        <f t="shared" si="39"/>
        <v>Medium</v>
      </c>
      <c r="I18" s="23">
        <f>'Assumptions &amp; Model'!$B$28+'Assumptions &amp; Model'!$B$26*B18+'Assumptions &amp; Model'!$B$27*C18</f>
        <v>95.44438154</v>
      </c>
      <c r="J18" s="23">
        <f>'Assumptions &amp; Model'!$B$31+'Assumptions &amp; Model'!$B$29*B18+'Assumptions &amp; Model'!$B$30*C18</f>
        <v>97.15138051</v>
      </c>
      <c r="K18" s="23">
        <f t="shared" ref="K18:L18" si="40">E18-I18</f>
        <v>0.001422804078</v>
      </c>
      <c r="L18" s="23">
        <f t="shared" si="40"/>
        <v>-0.009547178839</v>
      </c>
    </row>
    <row r="19">
      <c r="A19" s="10">
        <v>18.0</v>
      </c>
      <c r="B19" s="10">
        <v>87.0</v>
      </c>
      <c r="C19" s="10">
        <v>70.0</v>
      </c>
      <c r="D19" s="8">
        <f>AVERAGE('Apache Raw'!S$2:S$25)</f>
        <v>95.49658333</v>
      </c>
      <c r="E19" s="8">
        <f>(SUM('Apache Raw'!S$2:S$25)-'Apache Raw'!S$17)/('Assumptions &amp; Model'!$B$5-1)</f>
        <v>95.49819565</v>
      </c>
      <c r="F19" s="8">
        <f>AVERAGE('Odyssey Raw'!S$2:S$25)</f>
        <v>97.16291667</v>
      </c>
      <c r="G19" s="10" t="str">
        <f t="shared" ref="G19:H19" si="41">IF(B19&lt;33,"Low",IF(B19&lt;67,"Medium","High"))</f>
        <v>High</v>
      </c>
      <c r="H19" s="10" t="str">
        <f t="shared" si="41"/>
        <v>High</v>
      </c>
      <c r="I19" s="23">
        <f>'Assumptions &amp; Model'!$B$28+'Assumptions &amp; Model'!$B$26*B19+'Assumptions &amp; Model'!$B$27*C19</f>
        <v>95.52788445</v>
      </c>
      <c r="J19" s="23">
        <f>'Assumptions &amp; Model'!$B$31+'Assumptions &amp; Model'!$B$29*B19+'Assumptions &amp; Model'!$B$30*C19</f>
        <v>97.18285256</v>
      </c>
      <c r="K19" s="23">
        <f t="shared" ref="K19:L19" si="42">E19-I19</f>
        <v>-0.02968879954</v>
      </c>
      <c r="L19" s="23">
        <f t="shared" si="42"/>
        <v>-0.01993589261</v>
      </c>
    </row>
    <row r="20">
      <c r="A20" s="10">
        <v>19.0</v>
      </c>
      <c r="B20" s="10">
        <v>4.0</v>
      </c>
      <c r="C20" s="10">
        <v>26.0</v>
      </c>
      <c r="D20" s="8">
        <f>AVERAGE('Apache Raw'!T$2:T$25)</f>
        <v>94.93558333</v>
      </c>
      <c r="E20" s="8">
        <f>(SUM('Apache Raw'!T$2:T$25)-'Apache Raw'!T$17)/('Assumptions &amp; Model'!$B$5-1)</f>
        <v>94.93643478</v>
      </c>
      <c r="F20" s="8">
        <f>AVERAGE('Odyssey Raw'!T$2:T$25)</f>
        <v>97.04491667</v>
      </c>
      <c r="G20" s="10" t="str">
        <f t="shared" ref="G20:H20" si="43">IF(B20&lt;33,"Low",IF(B20&lt;67,"Medium","High"))</f>
        <v>Low</v>
      </c>
      <c r="H20" s="10" t="str">
        <f t="shared" si="43"/>
        <v>Low</v>
      </c>
      <c r="I20" s="23">
        <f>'Assumptions &amp; Model'!$B$28+'Assumptions &amp; Model'!$B$26*B20+'Assumptions &amp; Model'!$B$27*C20</f>
        <v>94.96064603</v>
      </c>
      <c r="J20" s="23">
        <f>'Assumptions &amp; Model'!$B$31+'Assumptions &amp; Model'!$B$29*B20+'Assumptions &amp; Model'!$B$30*C20</f>
        <v>96.99849846</v>
      </c>
      <c r="K20" s="23">
        <f t="shared" ref="K20:L20" si="44">E20-I20</f>
        <v>-0.02421124863</v>
      </c>
      <c r="L20" s="23">
        <f t="shared" si="44"/>
        <v>0.04641820982</v>
      </c>
    </row>
    <row r="21" ht="15.75" customHeight="1">
      <c r="A21" s="10">
        <v>20.0</v>
      </c>
      <c r="B21" s="10">
        <v>92.0</v>
      </c>
      <c r="C21" s="10">
        <v>95.0</v>
      </c>
      <c r="D21" s="8">
        <f>AVERAGE('Apache Raw'!U$2:U$25)</f>
        <v>95.46825</v>
      </c>
      <c r="E21" s="8">
        <f>(SUM('Apache Raw'!U$2:U$25)-'Apache Raw'!U$17)/('Assumptions &amp; Model'!$B$5-1)</f>
        <v>95.48004348</v>
      </c>
      <c r="F21" s="8">
        <f>AVERAGE('Odyssey Raw'!U$2:U$25)</f>
        <v>97.1825</v>
      </c>
      <c r="G21" s="10" t="str">
        <f t="shared" ref="G21:H21" si="45">IF(B21&lt;33,"Low",IF(B21&lt;67,"Medium","High"))</f>
        <v>High</v>
      </c>
      <c r="H21" s="10" t="str">
        <f t="shared" si="45"/>
        <v>High</v>
      </c>
      <c r="I21" s="23">
        <f>'Assumptions &amp; Model'!$B$28+'Assumptions &amp; Model'!$B$26*B21+'Assumptions &amp; Model'!$B$27*C21</f>
        <v>95.49424625</v>
      </c>
      <c r="J21" s="23">
        <f>'Assumptions &amp; Model'!$B$31+'Assumptions &amp; Model'!$B$29*B21+'Assumptions &amp; Model'!$B$30*C21</f>
        <v>97.18328977</v>
      </c>
      <c r="K21" s="23">
        <f t="shared" ref="K21:L21" si="46">E21-I21</f>
        <v>-0.01420277238</v>
      </c>
      <c r="L21" s="23">
        <f t="shared" si="46"/>
        <v>-0.0007897659472</v>
      </c>
    </row>
    <row r="22" ht="15.75" customHeight="1">
      <c r="A22" s="10">
        <v>21.0</v>
      </c>
      <c r="B22" s="10">
        <v>41.0</v>
      </c>
      <c r="C22" s="10">
        <v>54.0</v>
      </c>
      <c r="D22" s="8">
        <f>AVERAGE('Apache Raw'!V$2:V$25)</f>
        <v>95.15608333</v>
      </c>
      <c r="E22" s="8">
        <f>(SUM('Apache Raw'!V$2:V$25)-'Apache Raw'!V$17)/('Assumptions &amp; Model'!$B$5-1)</f>
        <v>95.17215217</v>
      </c>
      <c r="F22" s="8">
        <f>AVERAGE('Odyssey Raw'!V$2:V$25)</f>
        <v>97.07675</v>
      </c>
      <c r="G22" s="10" t="str">
        <f t="shared" ref="G22:H22" si="47">IF(B22&lt;33,"Low",IF(B22&lt;67,"Medium","High"))</f>
        <v>Medium</v>
      </c>
      <c r="H22" s="10" t="str">
        <f t="shared" si="47"/>
        <v>Medium</v>
      </c>
      <c r="I22" s="23">
        <f>'Assumptions &amp; Model'!$B$28+'Assumptions &amp; Model'!$B$26*B22+'Assumptions &amp; Model'!$B$27*C22</f>
        <v>95.1880692</v>
      </c>
      <c r="J22" s="23">
        <f>'Assumptions &amp; Model'!$B$31+'Assumptions &amp; Model'!$B$29*B22+'Assumptions &amp; Model'!$B$30*C22</f>
        <v>97.07667758</v>
      </c>
      <c r="K22" s="23">
        <f t="shared" ref="K22:L22" si="48">E22-I22</f>
        <v>-0.01591702289</v>
      </c>
      <c r="L22" s="23">
        <f t="shared" si="48"/>
        <v>0.00007242388254</v>
      </c>
    </row>
    <row r="23" ht="15.75" customHeight="1">
      <c r="A23" s="10">
        <v>22.0</v>
      </c>
      <c r="B23" s="10">
        <v>76.0</v>
      </c>
      <c r="C23" s="10">
        <v>91.0</v>
      </c>
      <c r="D23" s="8">
        <f>AVERAGE('Apache Raw'!W$2:W$25)</f>
        <v>95.37466667</v>
      </c>
      <c r="E23" s="8">
        <f>(SUM('Apache Raw'!W$2:W$25)-'Apache Raw'!W$17)/('Assumptions &amp; Model'!$B$5-1)</f>
        <v>95.39343478</v>
      </c>
      <c r="F23" s="8">
        <f>AVERAGE('Odyssey Raw'!W$2:W$25)</f>
        <v>97.15283333</v>
      </c>
      <c r="G23" s="10" t="str">
        <f t="shared" ref="G23:H23" si="49">IF(B23&lt;33,"Low",IF(B23&lt;67,"Medium","High"))</f>
        <v>High</v>
      </c>
      <c r="H23" s="10" t="str">
        <f t="shared" si="49"/>
        <v>High</v>
      </c>
      <c r="I23" s="23">
        <f>'Assumptions &amp; Model'!$B$28+'Assumptions &amp; Model'!$B$26*B23+'Assumptions &amp; Model'!$B$27*C23</f>
        <v>95.37130069</v>
      </c>
      <c r="J23" s="23">
        <f>'Assumptions &amp; Model'!$B$31+'Assumptions &amp; Model'!$B$29*B23+'Assumptions &amp; Model'!$B$30*C23</f>
        <v>97.14561218</v>
      </c>
      <c r="K23" s="23">
        <f t="shared" ref="K23:L23" si="50">E23-I23</f>
        <v>0.02213409023</v>
      </c>
      <c r="L23" s="23">
        <f t="shared" si="50"/>
        <v>0.007221151237</v>
      </c>
    </row>
    <row r="24" ht="15.75" customHeight="1">
      <c r="A24" s="10">
        <v>23.0</v>
      </c>
      <c r="B24" s="10">
        <v>82.0</v>
      </c>
      <c r="C24" s="10">
        <v>5.0</v>
      </c>
      <c r="D24" s="8">
        <f>AVERAGE('Apache Raw'!X$2:X$25)</f>
        <v>95.67033333</v>
      </c>
      <c r="E24" s="8">
        <f>(SUM('Apache Raw'!X$2:X$25)-'Apache Raw'!X$17)/('Assumptions &amp; Model'!$B$5-1)</f>
        <v>95.67721739</v>
      </c>
      <c r="F24" s="8">
        <f>AVERAGE('Odyssey Raw'!X$2:X$25)</f>
        <v>97.19666667</v>
      </c>
      <c r="G24" s="10" t="str">
        <f t="shared" ref="G24:H24" si="51">IF(B24&lt;33,"Low",IF(B24&lt;67,"Medium","High"))</f>
        <v>High</v>
      </c>
      <c r="H24" s="10" t="str">
        <f t="shared" si="51"/>
        <v>Low</v>
      </c>
      <c r="I24" s="23">
        <f>'Assumptions &amp; Model'!$B$28+'Assumptions &amp; Model'!$B$26*B24+'Assumptions &amp; Model'!$B$27*C24</f>
        <v>95.68288465</v>
      </c>
      <c r="J24" s="23">
        <f>'Assumptions &amp; Model'!$B$31+'Assumptions &amp; Model'!$B$29*B24+'Assumptions &amp; Model'!$B$30*C24</f>
        <v>97.20150931</v>
      </c>
      <c r="K24" s="23">
        <f t="shared" ref="K24:L24" si="52">E24-I24</f>
        <v>-0.0056672624</v>
      </c>
      <c r="L24" s="23">
        <f t="shared" si="52"/>
        <v>-0.004842645159</v>
      </c>
    </row>
    <row r="25" ht="15.75" customHeight="1">
      <c r="A25" s="10">
        <v>24.0</v>
      </c>
      <c r="B25" s="10">
        <v>39.0</v>
      </c>
      <c r="C25" s="10">
        <v>42.0</v>
      </c>
      <c r="D25" s="8">
        <f>AVERAGE('Apache Raw'!Y$2:Y$25)</f>
        <v>95.20258333</v>
      </c>
      <c r="E25" s="8">
        <f>(SUM('Apache Raw'!Y$2:Y$25)-'Apache Raw'!Y$17)/('Assumptions &amp; Model'!$B$5-1)</f>
        <v>95.20984783</v>
      </c>
      <c r="F25" s="8">
        <f>AVERAGE('Odyssey Raw'!Y$2:Y$25)</f>
        <v>97.09566667</v>
      </c>
      <c r="G25" s="10" t="str">
        <f t="shared" ref="G25:H25" si="53">IF(B25&lt;33,"Low",IF(B25&lt;67,"Medium","High"))</f>
        <v>Medium</v>
      </c>
      <c r="H25" s="10" t="str">
        <f t="shared" si="53"/>
        <v>Medium</v>
      </c>
      <c r="I25" s="23">
        <f>'Assumptions &amp; Model'!$B$28+'Assumptions &amp; Model'!$B$26*B25+'Assumptions &amp; Model'!$B$27*C25</f>
        <v>95.20759258</v>
      </c>
      <c r="J25" s="23">
        <f>'Assumptions &amp; Model'!$B$31+'Assumptions &amp; Model'!$B$29*B25+'Assumptions &amp; Model'!$B$30*C25</f>
        <v>97.07745739</v>
      </c>
      <c r="K25" s="23">
        <f t="shared" ref="K25:L25" si="54">E25-I25</f>
        <v>0.002255248802</v>
      </c>
      <c r="L25" s="23">
        <f t="shared" si="54"/>
        <v>0.01820927526</v>
      </c>
    </row>
    <row r="26" ht="15.75" customHeight="1">
      <c r="A26" s="10">
        <v>25.0</v>
      </c>
      <c r="B26" s="10">
        <v>97.0</v>
      </c>
      <c r="C26" s="10">
        <v>68.0</v>
      </c>
      <c r="D26" s="8">
        <f>AVERAGE('Apache Raw'!Z$2:Z$25)</f>
        <v>95.60133333</v>
      </c>
      <c r="E26" s="8">
        <f>(SUM('Apache Raw'!Z$2:Z$25)-'Apache Raw'!Z$17)/('Assumptions &amp; Model'!$B$5-1)</f>
        <v>95.60963043</v>
      </c>
      <c r="F26" s="8">
        <f>AVERAGE('Odyssey Raw'!Z$2:Z$25)</f>
        <v>97.21891667</v>
      </c>
      <c r="G26" s="10" t="str">
        <f t="shared" ref="G26:H26" si="55">IF(B26&lt;33,"Low",IF(B26&lt;67,"Medium","High"))</f>
        <v>High</v>
      </c>
      <c r="H26" s="10" t="str">
        <f t="shared" si="55"/>
        <v>High</v>
      </c>
      <c r="I26" s="23">
        <f>'Assumptions &amp; Model'!$B$28+'Assumptions &amp; Model'!$B$26*B26+'Assumptions &amp; Model'!$B$27*C26</f>
        <v>95.61837865</v>
      </c>
      <c r="J26" s="23">
        <f>'Assumptions &amp; Model'!$B$31+'Assumptions &amp; Model'!$B$29*B26+'Assumptions &amp; Model'!$B$30*C26</f>
        <v>97.20854912</v>
      </c>
      <c r="K26" s="23">
        <f t="shared" ref="K26:L26" si="56">E26-I26</f>
        <v>-0.008748215954</v>
      </c>
      <c r="L26" s="23">
        <f t="shared" si="56"/>
        <v>0.01036754707</v>
      </c>
    </row>
    <row r="27" ht="15.75" customHeight="1">
      <c r="A27" s="10">
        <v>26.0</v>
      </c>
      <c r="B27" s="10">
        <v>27.0</v>
      </c>
      <c r="C27" s="10">
        <v>15.0</v>
      </c>
      <c r="D27" s="8">
        <f>AVERAGE('Apache Raw'!AA$2:AA$25)</f>
        <v>95.18741667</v>
      </c>
      <c r="E27" s="8">
        <f>(SUM('Apache Raw'!AA$2:AA$25)-'Apache Raw'!AA$17)/('Assumptions &amp; Model'!$B$5-1)</f>
        <v>95.20232609</v>
      </c>
      <c r="F27" s="8">
        <f>AVERAGE('Odyssey Raw'!AA$2:AA$25)</f>
        <v>97.09791667</v>
      </c>
      <c r="G27" s="10" t="str">
        <f t="shared" ref="G27:H27" si="57">IF(B27&lt;33,"Low",IF(B27&lt;67,"Medium","High"))</f>
        <v>Low</v>
      </c>
      <c r="H27" s="10" t="str">
        <f t="shared" si="57"/>
        <v>Low</v>
      </c>
      <c r="I27" s="23">
        <f>'Assumptions &amp; Model'!$B$28+'Assumptions &amp; Model'!$B$26*B27+'Assumptions &amp; Model'!$B$27*C27</f>
        <v>95.18820061</v>
      </c>
      <c r="J27" s="23">
        <f>'Assumptions &amp; Model'!$B$31+'Assumptions &amp; Model'!$B$29*B27+'Assumptions &amp; Model'!$B$30*C27</f>
        <v>97.06065558</v>
      </c>
      <c r="K27" s="23">
        <f t="shared" ref="K27:L27" si="58">E27-I27</f>
        <v>0.01412547783</v>
      </c>
      <c r="L27" s="23">
        <f t="shared" si="58"/>
        <v>0.03726108761</v>
      </c>
    </row>
    <row r="28" ht="15.75" customHeight="1">
      <c r="A28" s="10">
        <v>27.0</v>
      </c>
      <c r="B28" s="10">
        <v>14.0</v>
      </c>
      <c r="C28" s="10">
        <v>57.0</v>
      </c>
      <c r="D28" s="8">
        <f>AVERAGE('Apache Raw'!AB$2:AB$25)</f>
        <v>94.94966667</v>
      </c>
      <c r="E28" s="8">
        <f>(SUM('Apache Raw'!AB$2:AB$25)-'Apache Raw'!AB$17)/('Assumptions &amp; Model'!$B$5-1)</f>
        <v>94.9553913</v>
      </c>
      <c r="F28" s="8">
        <f>AVERAGE('Odyssey Raw'!AB$2:AB$25)</f>
        <v>97.0015</v>
      </c>
      <c r="G28" s="10" t="str">
        <f t="shared" ref="G28:H28" si="59">IF(B28&lt;33,"Low",IF(B28&lt;67,"Medium","High"))</f>
        <v>Low</v>
      </c>
      <c r="H28" s="10" t="str">
        <f t="shared" si="59"/>
        <v>Medium</v>
      </c>
      <c r="I28" s="23">
        <f>'Assumptions &amp; Model'!$B$28+'Assumptions &amp; Model'!$B$26*B28+'Assumptions &amp; Model'!$B$27*C28</f>
        <v>94.95101658</v>
      </c>
      <c r="J28" s="23">
        <f>'Assumptions &amp; Model'!$B$31+'Assumptions &amp; Model'!$B$29*B28+'Assumptions &amp; Model'!$B$30*C28</f>
        <v>97.0084425</v>
      </c>
      <c r="K28" s="23">
        <f t="shared" ref="K28:L28" si="60">E28-I28</f>
        <v>0.004374724834</v>
      </c>
      <c r="L28" s="23">
        <f t="shared" si="60"/>
        <v>-0.006942500809</v>
      </c>
    </row>
    <row r="29" ht="15.75" customHeight="1">
      <c r="A29" s="10">
        <v>28.0</v>
      </c>
      <c r="B29" s="10">
        <v>44.0</v>
      </c>
      <c r="C29" s="10">
        <v>8.0</v>
      </c>
      <c r="D29" s="8">
        <f>AVERAGE('Apache Raw'!AC$2:AC$25)</f>
        <v>95.33125</v>
      </c>
      <c r="E29" s="8">
        <f>(SUM('Apache Raw'!AC$2:AC$25)-'Apache Raw'!AC$17)/('Assumptions &amp; Model'!$B$5-1)</f>
        <v>95.34347826</v>
      </c>
      <c r="F29" s="8">
        <f>AVERAGE('Odyssey Raw'!AC$2:AC$25)</f>
        <v>97.12683333</v>
      </c>
      <c r="G29" s="10" t="str">
        <f t="shared" ref="G29:H29" si="61">IF(B29&lt;33,"Low",IF(B29&lt;67,"Medium","High"))</f>
        <v>Medium</v>
      </c>
      <c r="H29" s="10" t="str">
        <f t="shared" si="61"/>
        <v>Low</v>
      </c>
      <c r="I29" s="23">
        <f>'Assumptions &amp; Model'!$B$28+'Assumptions &amp; Model'!$B$26*B29+'Assumptions &amp; Model'!$B$27*C29</f>
        <v>95.35296333</v>
      </c>
      <c r="J29" s="23">
        <f>'Assumptions &amp; Model'!$B$31+'Assumptions &amp; Model'!$B$29*B29+'Assumptions &amp; Model'!$B$30*C29</f>
        <v>97.10605819</v>
      </c>
      <c r="K29" s="23">
        <f t="shared" ref="K29:L29" si="62">E29-I29</f>
        <v>-0.009485066671</v>
      </c>
      <c r="L29" s="23">
        <f t="shared" si="62"/>
        <v>0.02077514541</v>
      </c>
    </row>
    <row r="30" ht="15.75" customHeight="1">
      <c r="A30" s="10">
        <v>29.0</v>
      </c>
      <c r="B30" s="10">
        <v>15.0</v>
      </c>
      <c r="C30" s="10">
        <v>79.0</v>
      </c>
      <c r="D30" s="8">
        <f>AVERAGE('Apache Raw'!AD$2:AD$25)</f>
        <v>94.85716667</v>
      </c>
      <c r="E30" s="8">
        <f>(SUM('Apache Raw'!AD$2:AD$25)-'Apache Raw'!AD$17)/('Assumptions &amp; Model'!$B$5-1)</f>
        <v>94.87093478</v>
      </c>
      <c r="F30" s="8">
        <f>AVERAGE('Odyssey Raw'!AD$2:AD$25)</f>
        <v>96.99216667</v>
      </c>
      <c r="G30" s="10" t="str">
        <f t="shared" ref="G30:H30" si="63">IF(B30&lt;33,"Low",IF(B30&lt;67,"Medium","High"))</f>
        <v>Low</v>
      </c>
      <c r="H30" s="10" t="str">
        <f t="shared" si="63"/>
        <v>High</v>
      </c>
      <c r="I30" s="23">
        <f>'Assumptions &amp; Model'!$B$28+'Assumptions &amp; Model'!$B$26*B30+'Assumptions &amp; Model'!$B$27*C30</f>
        <v>94.89271009</v>
      </c>
      <c r="J30" s="23">
        <f>'Assumptions &amp; Model'!$B$31+'Assumptions &amp; Model'!$B$29*B30+'Assumptions &amp; Model'!$B$30*C30</f>
        <v>97.00041501</v>
      </c>
      <c r="K30" s="23">
        <f t="shared" ref="K30:L30" si="64">E30-I30</f>
        <v>-0.0217753063</v>
      </c>
      <c r="L30" s="23">
        <f t="shared" si="64"/>
        <v>-0.008248342809</v>
      </c>
    </row>
    <row r="31" ht="15.75" customHeight="1">
      <c r="A31" s="10">
        <v>30.0</v>
      </c>
      <c r="B31" s="10">
        <v>62.0</v>
      </c>
      <c r="C31" s="10">
        <v>74.0</v>
      </c>
      <c r="D31" s="8">
        <f>AVERAGE('Apache Raw'!AE$2:AE$25)</f>
        <v>95.31875</v>
      </c>
      <c r="E31" s="8">
        <f>(SUM('Apache Raw'!AE$2:AE$25)-'Apache Raw'!AE$17)/('Assumptions &amp; Model'!$B$5-1)</f>
        <v>95.3223913</v>
      </c>
      <c r="F31" s="8">
        <f>AVERAGE('Odyssey Raw'!AE$2:AE$25)</f>
        <v>97.13258333</v>
      </c>
      <c r="G31" s="10" t="str">
        <f t="shared" ref="G31:H31" si="65">IF(B31&lt;33,"Low",IF(B31&lt;67,"Medium","High"))</f>
        <v>Medium</v>
      </c>
      <c r="H31" s="10" t="str">
        <f t="shared" si="65"/>
        <v>High</v>
      </c>
      <c r="I31" s="23">
        <f>'Assumptions &amp; Model'!$B$28+'Assumptions &amp; Model'!$B$26*B31+'Assumptions &amp; Model'!$B$27*C31</f>
        <v>95.304683</v>
      </c>
      <c r="J31" s="23">
        <f>'Assumptions &amp; Model'!$B$31+'Assumptions &amp; Model'!$B$29*B31+'Assumptions &amp; Model'!$B$30*C31</f>
        <v>97.11908851</v>
      </c>
      <c r="K31" s="23">
        <f t="shared" ref="K31:L31" si="66">E31-I31</f>
        <v>0.01770830015</v>
      </c>
      <c r="L31" s="23">
        <f t="shared" si="66"/>
        <v>0.01349482587</v>
      </c>
    </row>
    <row r="32" ht="15.75" customHeight="1">
      <c r="A32" s="10">
        <v>31.0</v>
      </c>
      <c r="B32" s="10">
        <v>39.0</v>
      </c>
      <c r="C32" s="10">
        <v>47.0</v>
      </c>
      <c r="D32" s="8">
        <f>AVERAGE('Apache Raw'!AF$2:AF$25)</f>
        <v>95.18675</v>
      </c>
      <c r="E32" s="8">
        <f>(SUM('Apache Raw'!AF$2:AF$25)-'Apache Raw'!AF$17)/('Assumptions &amp; Model'!$B$5-1)</f>
        <v>95.19267391</v>
      </c>
      <c r="F32" s="8">
        <f>AVERAGE('Odyssey Raw'!AF$2:AF$25)</f>
        <v>97.05191667</v>
      </c>
      <c r="G32" s="10" t="str">
        <f t="shared" ref="G32:H32" si="67">IF(B32&lt;33,"Low",IF(B32&lt;67,"Medium","High"))</f>
        <v>Medium</v>
      </c>
      <c r="H32" s="10" t="str">
        <f t="shared" si="67"/>
        <v>Medium</v>
      </c>
      <c r="I32" s="23">
        <f>'Assumptions &amp; Model'!$B$28+'Assumptions &amp; Model'!$B$26*B32+'Assumptions &amp; Model'!$B$27*C32</f>
        <v>95.19242233</v>
      </c>
      <c r="J32" s="23">
        <f>'Assumptions &amp; Model'!$B$31+'Assumptions &amp; Model'!$B$29*B32+'Assumptions &amp; Model'!$B$30*C32</f>
        <v>97.07507065</v>
      </c>
      <c r="K32" s="23">
        <f t="shared" ref="K32:L32" si="68">E32-I32</f>
        <v>0.0002515858718</v>
      </c>
      <c r="L32" s="23">
        <f t="shared" si="68"/>
        <v>-0.02315397984</v>
      </c>
    </row>
    <row r="33" ht="15.75" customHeight="1">
      <c r="A33" s="10">
        <v>32.0</v>
      </c>
      <c r="B33" s="10">
        <v>23.0</v>
      </c>
      <c r="C33" s="10">
        <v>84.0</v>
      </c>
      <c r="D33" s="8">
        <f>AVERAGE('Apache Raw'!AG$2:AG$25)</f>
        <v>94.95683333</v>
      </c>
      <c r="E33" s="8">
        <f>(SUM('Apache Raw'!AG$2:AG$25)-'Apache Raw'!AG$17)/('Assumptions &amp; Model'!$B$5-1)</f>
        <v>94.96697826</v>
      </c>
      <c r="F33" s="8">
        <f>AVERAGE('Odyssey Raw'!AG$2:AG$25)</f>
        <v>97.02466667</v>
      </c>
      <c r="G33" s="10" t="str">
        <f t="shared" ref="G33:H33" si="69">IF(B33&lt;33,"Low",IF(B33&lt;67,"Medium","High"))</f>
        <v>Low</v>
      </c>
      <c r="H33" s="10" t="str">
        <f t="shared" si="69"/>
        <v>High</v>
      </c>
      <c r="I33" s="23">
        <f>'Assumptions &amp; Model'!$B$28+'Assumptions &amp; Model'!$B$26*B33+'Assumptions &amp; Model'!$B$27*C33</f>
        <v>94.94508072</v>
      </c>
      <c r="J33" s="23">
        <f>'Assumptions &amp; Model'!$B$31+'Assumptions &amp; Model'!$B$29*B33+'Assumptions &amp; Model'!$B$30*C33</f>
        <v>97.01782175</v>
      </c>
      <c r="K33" s="23">
        <f t="shared" ref="K33:L33" si="70">E33-I33</f>
        <v>0.02189754289</v>
      </c>
      <c r="L33" s="23">
        <f t="shared" si="70"/>
        <v>0.006844912206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9" width="18.0"/>
    <col customWidth="1" min="10" max="11" width="22.0"/>
    <col customWidth="1" min="12" max="12" width="21.0"/>
    <col customWidth="1" min="13" max="26" width="8.63"/>
  </cols>
  <sheetData>
    <row r="1" ht="27.75" customHeight="1">
      <c r="A1" s="22" t="s">
        <v>23</v>
      </c>
      <c r="B1" s="22" t="s">
        <v>127</v>
      </c>
      <c r="C1" s="22" t="s">
        <v>128</v>
      </c>
      <c r="D1" s="22" t="s">
        <v>129</v>
      </c>
      <c r="E1" s="22" t="s">
        <v>130</v>
      </c>
      <c r="F1" s="22" t="s">
        <v>131</v>
      </c>
      <c r="G1" s="22" t="s">
        <v>132</v>
      </c>
      <c r="H1" s="22" t="s">
        <v>133</v>
      </c>
      <c r="I1" s="22" t="s">
        <v>134</v>
      </c>
      <c r="J1" s="22" t="s">
        <v>135</v>
      </c>
      <c r="K1" s="22" t="s">
        <v>136</v>
      </c>
      <c r="L1" s="22" t="s">
        <v>137</v>
      </c>
    </row>
    <row r="2">
      <c r="A2" s="10" t="s">
        <v>56</v>
      </c>
      <c r="B2" s="23">
        <f>AVERAGE('Apache Raw'!B2:AG2)</f>
        <v>95.32504688</v>
      </c>
      <c r="C2" s="23">
        <f>(SUM($B$2:$B$25)-B2)/('Assumptions &amp; Model'!$B$5-1)</f>
        <v>95.26768274</v>
      </c>
      <c r="D2" s="23">
        <f t="shared" ref="D2:D25" si="1">B2-C2</f>
        <v>0.05736413043</v>
      </c>
      <c r="E2" s="24">
        <f t="shared" ref="E2:E25" si="2">(B2-AVERAGE($B$2:$B$25))/_xlfn.STDEV.S($B$2:$B$25)</f>
        <v>1.062219097</v>
      </c>
      <c r="F2" s="23">
        <f>AVERAGE('Odyssey Raw'!B2:AG2)</f>
        <v>97.11070313</v>
      </c>
      <c r="G2" s="23">
        <f>(SUM($F$2:$F$25)-F2)/('Assumptions &amp; Model'!$B$5-1)</f>
        <v>97.09877378</v>
      </c>
      <c r="H2" s="23">
        <f t="shared" ref="H2:H25" si="3">F2-G2</f>
        <v>0.01192934783</v>
      </c>
      <c r="I2" s="24">
        <f t="shared" ref="I2:I25" si="4">(F2-AVERAGE($F$2:$F$25))/_xlfn.STDEV.S($F$2:$F$25)</f>
        <v>0.6324749807</v>
      </c>
      <c r="J2" s="25">
        <f>IF(E2&lt;=-3,MAX(0,-D2)/100*'Assumptions &amp; Model'!$B$3*'Assumptions &amp; Model'!$B$4,0)</f>
        <v>0</v>
      </c>
      <c r="K2" s="26">
        <f>J2*'Assumptions &amp; Model'!$B$6</f>
        <v>0</v>
      </c>
      <c r="L2" s="10" t="str">
        <f t="shared" ref="L2:L25" si="5">IF(AND(E2&lt;=-3,ABS(I2)&lt;3),"Investigate Apache",IF(I2&lt;=-3,"Investigate Odyssey","Normal"))</f>
        <v>Normal</v>
      </c>
    </row>
    <row r="3">
      <c r="A3" s="10" t="s">
        <v>58</v>
      </c>
      <c r="B3" s="23">
        <f>AVERAGE('Apache Raw'!B3:AG3)</f>
        <v>95.27817188</v>
      </c>
      <c r="C3" s="23">
        <f>(SUM($B$2:$B$25)-B3)/('Assumptions &amp; Model'!$B$5-1)</f>
        <v>95.26972079</v>
      </c>
      <c r="D3" s="23">
        <f t="shared" si="1"/>
        <v>0.008451086957</v>
      </c>
      <c r="E3" s="24">
        <f t="shared" si="2"/>
        <v>0.1564898811</v>
      </c>
      <c r="F3" s="23">
        <f>AVERAGE('Odyssey Raw'!B3:AG3)</f>
        <v>97.11414063</v>
      </c>
      <c r="G3" s="23">
        <f>(SUM($F$2:$F$25)-F3)/('Assumptions &amp; Model'!$B$5-1)</f>
        <v>97.09862432</v>
      </c>
      <c r="H3" s="23">
        <f t="shared" si="3"/>
        <v>0.01551630435</v>
      </c>
      <c r="I3" s="24">
        <f t="shared" si="4"/>
        <v>0.8226496901</v>
      </c>
      <c r="J3" s="25">
        <f>IF(E3&lt;=-3,MAX(0,-D3)/100*'Assumptions &amp; Model'!$B$3*'Assumptions &amp; Model'!$B$4,0)</f>
        <v>0</v>
      </c>
      <c r="K3" s="26">
        <f>J3*'Assumptions &amp; Model'!$B$6</f>
        <v>0</v>
      </c>
      <c r="L3" s="10" t="str">
        <f t="shared" si="5"/>
        <v>Normal</v>
      </c>
    </row>
    <row r="4">
      <c r="A4" s="10" t="s">
        <v>65</v>
      </c>
      <c r="B4" s="23">
        <f>AVERAGE('Apache Raw'!B4:AG4)</f>
        <v>95.30129688</v>
      </c>
      <c r="C4" s="23">
        <f>(SUM($B$2:$B$25)-B4)/('Assumptions &amp; Model'!$B$5-1)</f>
        <v>95.26871535</v>
      </c>
      <c r="D4" s="23">
        <f t="shared" si="1"/>
        <v>0.03258152174</v>
      </c>
      <c r="E4" s="24">
        <f t="shared" si="2"/>
        <v>0.603316294</v>
      </c>
      <c r="F4" s="23">
        <f>AVERAGE('Odyssey Raw'!B4:AG4)</f>
        <v>97.13007813</v>
      </c>
      <c r="G4" s="23">
        <f>(SUM($F$2:$F$25)-F4)/('Assumptions &amp; Model'!$B$5-1)</f>
        <v>97.09793139</v>
      </c>
      <c r="H4" s="23">
        <f t="shared" si="3"/>
        <v>0.03214673913</v>
      </c>
      <c r="I4" s="24">
        <f t="shared" si="4"/>
        <v>1.704368798</v>
      </c>
      <c r="J4" s="25">
        <f>IF(E4&lt;=-3,MAX(0,-D4)/100*'Assumptions &amp; Model'!$B$3*'Assumptions &amp; Model'!$B$4,0)</f>
        <v>0</v>
      </c>
      <c r="K4" s="26">
        <f>J4*'Assumptions &amp; Model'!$B$6</f>
        <v>0</v>
      </c>
      <c r="L4" s="10" t="str">
        <f t="shared" si="5"/>
        <v>Normal</v>
      </c>
    </row>
    <row r="5">
      <c r="A5" s="10" t="s">
        <v>73</v>
      </c>
      <c r="B5" s="23">
        <f>AVERAGE('Apache Raw'!B5:AG5)</f>
        <v>95.27910938</v>
      </c>
      <c r="C5" s="23">
        <f>(SUM($B$2:$B$25)-B5)/('Assumptions &amp; Model'!$B$5-1)</f>
        <v>95.26968003</v>
      </c>
      <c r="D5" s="23">
        <f t="shared" si="1"/>
        <v>0.009429347826</v>
      </c>
      <c r="E5" s="24">
        <f t="shared" si="2"/>
        <v>0.1746044654</v>
      </c>
      <c r="F5" s="23">
        <f>AVERAGE('Odyssey Raw'!B5:AG5)</f>
        <v>97.08789063</v>
      </c>
      <c r="G5" s="23">
        <f>(SUM($F$2:$F$25)-F5)/('Assumptions &amp; Model'!$B$5-1)</f>
        <v>97.09976563</v>
      </c>
      <c r="H5" s="23">
        <f t="shared" si="3"/>
        <v>-0.011875</v>
      </c>
      <c r="I5" s="24">
        <f t="shared" si="4"/>
        <v>-0.6295935457</v>
      </c>
      <c r="J5" s="25">
        <f>IF(E5&lt;=-3,MAX(0,-D5)/100*'Assumptions &amp; Model'!$B$3*'Assumptions &amp; Model'!$B$4,0)</f>
        <v>0</v>
      </c>
      <c r="K5" s="26">
        <f>J5*'Assumptions &amp; Model'!$B$6</f>
        <v>0</v>
      </c>
      <c r="L5" s="10" t="str">
        <f t="shared" si="5"/>
        <v>Normal</v>
      </c>
    </row>
    <row r="6">
      <c r="A6" s="10" t="s">
        <v>78</v>
      </c>
      <c r="B6" s="23">
        <f>AVERAGE('Apache Raw'!B6:AG6)</f>
        <v>95.28692188</v>
      </c>
      <c r="C6" s="23">
        <f>(SUM($B$2:$B$25)-B6)/('Assumptions &amp; Model'!$B$5-1)</f>
        <v>95.26934035</v>
      </c>
      <c r="D6" s="23">
        <f t="shared" si="1"/>
        <v>0.01758152174</v>
      </c>
      <c r="E6" s="24">
        <f t="shared" si="2"/>
        <v>0.3255593347</v>
      </c>
      <c r="F6" s="23">
        <f>AVERAGE('Odyssey Raw'!B6:AG6)</f>
        <v>97.07414063</v>
      </c>
      <c r="G6" s="23">
        <f>(SUM($F$2:$F$25)-F6)/('Assumptions &amp; Model'!$B$5-1)</f>
        <v>97.10036345</v>
      </c>
      <c r="H6" s="23">
        <f t="shared" si="3"/>
        <v>-0.02622282609</v>
      </c>
      <c r="I6" s="24">
        <f t="shared" si="4"/>
        <v>-1.390292383</v>
      </c>
      <c r="J6" s="25">
        <f>IF(E6&lt;=-3,MAX(0,-D6)/100*'Assumptions &amp; Model'!$B$3*'Assumptions &amp; Model'!$B$4,0)</f>
        <v>0</v>
      </c>
      <c r="K6" s="26">
        <f>J6*'Assumptions &amp; Model'!$B$6</f>
        <v>0</v>
      </c>
      <c r="L6" s="10" t="str">
        <f t="shared" si="5"/>
        <v>Normal</v>
      </c>
    </row>
    <row r="7">
      <c r="A7" s="10" t="s">
        <v>83</v>
      </c>
      <c r="B7" s="23">
        <f>AVERAGE('Apache Raw'!B7:AG7)</f>
        <v>95.30973438</v>
      </c>
      <c r="C7" s="23">
        <f>(SUM($B$2:$B$25)-B7)/('Assumptions &amp; Model'!$B$5-1)</f>
        <v>95.26834851</v>
      </c>
      <c r="D7" s="23">
        <f t="shared" si="1"/>
        <v>0.04138586957</v>
      </c>
      <c r="E7" s="24">
        <f t="shared" si="2"/>
        <v>0.7663475528</v>
      </c>
      <c r="F7" s="23">
        <f>AVERAGE('Odyssey Raw'!B7:AG7)</f>
        <v>97.12726563</v>
      </c>
      <c r="G7" s="23">
        <f>(SUM($F$2:$F$25)-F7)/('Assumptions &amp; Model'!$B$5-1)</f>
        <v>97.09805367</v>
      </c>
      <c r="H7" s="23">
        <f t="shared" si="3"/>
        <v>0.02921195652</v>
      </c>
      <c r="I7" s="24">
        <f t="shared" si="4"/>
        <v>1.548771308</v>
      </c>
      <c r="J7" s="25">
        <f>IF(E7&lt;=-3,MAX(0,-D7)/100*'Assumptions &amp; Model'!$B$3*'Assumptions &amp; Model'!$B$4,0)</f>
        <v>0</v>
      </c>
      <c r="K7" s="26">
        <f>J7*'Assumptions &amp; Model'!$B$6</f>
        <v>0</v>
      </c>
      <c r="L7" s="10" t="str">
        <f t="shared" si="5"/>
        <v>Normal</v>
      </c>
    </row>
    <row r="8">
      <c r="A8" s="10" t="s">
        <v>88</v>
      </c>
      <c r="B8" s="23">
        <f>AVERAGE('Apache Raw'!B8:AG8)</f>
        <v>95.25973438</v>
      </c>
      <c r="C8" s="23">
        <f>(SUM($B$2:$B$25)-B8)/('Assumptions &amp; Model'!$B$5-1)</f>
        <v>95.27052242</v>
      </c>
      <c r="D8" s="23">
        <f t="shared" si="1"/>
        <v>-0.01078804348</v>
      </c>
      <c r="E8" s="24">
        <f t="shared" si="2"/>
        <v>-0.1997636103</v>
      </c>
      <c r="F8" s="23">
        <f>AVERAGE('Odyssey Raw'!B8:AG8)</f>
        <v>97.10132813</v>
      </c>
      <c r="G8" s="23">
        <f>(SUM($F$2:$F$25)-F8)/('Assumptions &amp; Model'!$B$5-1)</f>
        <v>97.09918139</v>
      </c>
      <c r="H8" s="23">
        <f t="shared" si="3"/>
        <v>0.00214673913</v>
      </c>
      <c r="I8" s="24">
        <f t="shared" si="4"/>
        <v>0.1138166822</v>
      </c>
      <c r="J8" s="25">
        <f>IF(E8&lt;=-3,MAX(0,-D8)/100*'Assumptions &amp; Model'!$B$3*'Assumptions &amp; Model'!$B$4,0)</f>
        <v>0</v>
      </c>
      <c r="K8" s="26">
        <f>J8*'Assumptions &amp; Model'!$B$6</f>
        <v>0</v>
      </c>
      <c r="L8" s="10" t="str">
        <f t="shared" si="5"/>
        <v>Normal</v>
      </c>
    </row>
    <row r="9">
      <c r="A9" s="10" t="s">
        <v>95</v>
      </c>
      <c r="B9" s="23">
        <f>AVERAGE('Apache Raw'!B9:AG9)</f>
        <v>95.27754688</v>
      </c>
      <c r="C9" s="23">
        <f>(SUM($B$2:$B$25)-B9)/('Assumptions &amp; Model'!$B$5-1)</f>
        <v>95.26974796</v>
      </c>
      <c r="D9" s="23">
        <f t="shared" si="1"/>
        <v>0.007798913044</v>
      </c>
      <c r="E9" s="24">
        <f t="shared" si="2"/>
        <v>0.1444134916</v>
      </c>
      <c r="F9" s="23">
        <f>AVERAGE('Odyssey Raw'!B9:AG9)</f>
        <v>97.07226563</v>
      </c>
      <c r="G9" s="23">
        <f>(SUM($F$2:$F$25)-F9)/('Assumptions &amp; Model'!$B$5-1)</f>
        <v>97.10044497</v>
      </c>
      <c r="H9" s="23">
        <f t="shared" si="3"/>
        <v>-0.02817934783</v>
      </c>
      <c r="I9" s="24">
        <f t="shared" si="4"/>
        <v>-1.494024043</v>
      </c>
      <c r="J9" s="25">
        <f>IF(E9&lt;=-3,MAX(0,-D9)/100*'Assumptions &amp; Model'!$B$3*'Assumptions &amp; Model'!$B$4,0)</f>
        <v>0</v>
      </c>
      <c r="K9" s="26">
        <f>J9*'Assumptions &amp; Model'!$B$6</f>
        <v>0</v>
      </c>
      <c r="L9" s="10" t="str">
        <f t="shared" si="5"/>
        <v>Normal</v>
      </c>
    </row>
    <row r="10">
      <c r="A10" s="10" t="s">
        <v>99</v>
      </c>
      <c r="B10" s="23">
        <f>AVERAGE('Apache Raw'!B10:AG10)</f>
        <v>95.28410938</v>
      </c>
      <c r="C10" s="23">
        <f>(SUM($B$2:$B$25)-B10)/('Assumptions &amp; Model'!$B$5-1)</f>
        <v>95.26946264</v>
      </c>
      <c r="D10" s="23">
        <f t="shared" si="1"/>
        <v>0.01464673913</v>
      </c>
      <c r="E10" s="24">
        <f t="shared" si="2"/>
        <v>0.2712155817</v>
      </c>
      <c r="F10" s="23">
        <f>AVERAGE('Odyssey Raw'!B10:AG10)</f>
        <v>97.10882813</v>
      </c>
      <c r="G10" s="23">
        <f>(SUM($F$2:$F$25)-F10)/('Assumptions &amp; Model'!$B$5-1)</f>
        <v>97.0988553</v>
      </c>
      <c r="H10" s="23">
        <f t="shared" si="3"/>
        <v>0.009972826087</v>
      </c>
      <c r="I10" s="24">
        <f t="shared" si="4"/>
        <v>0.528743321</v>
      </c>
      <c r="J10" s="25">
        <f>IF(E10&lt;=-3,MAX(0,-D10)/100*'Assumptions &amp; Model'!$B$3*'Assumptions &amp; Model'!$B$4,0)</f>
        <v>0</v>
      </c>
      <c r="K10" s="26">
        <f>J10*'Assumptions &amp; Model'!$B$6</f>
        <v>0</v>
      </c>
      <c r="L10" s="10" t="str">
        <f t="shared" si="5"/>
        <v>Normal</v>
      </c>
    </row>
    <row r="11">
      <c r="A11" s="10" t="s">
        <v>105</v>
      </c>
      <c r="B11" s="23">
        <f>AVERAGE('Apache Raw'!B11:AG11)</f>
        <v>95.26910938</v>
      </c>
      <c r="C11" s="23">
        <f>(SUM($B$2:$B$25)-B11)/('Assumptions &amp; Model'!$B$5-1)</f>
        <v>95.27011481</v>
      </c>
      <c r="D11" s="23">
        <f t="shared" si="1"/>
        <v>-0.001005434783</v>
      </c>
      <c r="E11" s="24">
        <f t="shared" si="2"/>
        <v>-0.01861776721</v>
      </c>
      <c r="F11" s="23">
        <f>AVERAGE('Odyssey Raw'!B11:AG11)</f>
        <v>97.07632813</v>
      </c>
      <c r="G11" s="23">
        <f>(SUM($F$2:$F$25)-F11)/('Assumptions &amp; Model'!$B$5-1)</f>
        <v>97.10026834</v>
      </c>
      <c r="H11" s="23">
        <f t="shared" si="3"/>
        <v>-0.02394021739</v>
      </c>
      <c r="I11" s="24">
        <f t="shared" si="4"/>
        <v>-1.269272114</v>
      </c>
      <c r="J11" s="25">
        <f>IF(E11&lt;=-3,MAX(0,-D11)/100*'Assumptions &amp; Model'!$B$3*'Assumptions &amp; Model'!$B$4,0)</f>
        <v>0</v>
      </c>
      <c r="K11" s="26">
        <f>J11*'Assumptions &amp; Model'!$B$6</f>
        <v>0</v>
      </c>
      <c r="L11" s="10" t="str">
        <f t="shared" si="5"/>
        <v>Normal</v>
      </c>
    </row>
    <row r="12">
      <c r="A12" s="10" t="s">
        <v>110</v>
      </c>
      <c r="B12" s="23">
        <f>AVERAGE('Apache Raw'!B12:AG12)</f>
        <v>95.28160938</v>
      </c>
      <c r="C12" s="23">
        <f>(SUM($B$2:$B$25)-B12)/('Assumptions &amp; Model'!$B$5-1)</f>
        <v>95.26957133</v>
      </c>
      <c r="D12" s="23">
        <f t="shared" si="1"/>
        <v>0.01203804348</v>
      </c>
      <c r="E12" s="24">
        <f t="shared" si="2"/>
        <v>0.2229100236</v>
      </c>
      <c r="F12" s="23">
        <f>AVERAGE('Odyssey Raw'!B12:AG12)</f>
        <v>97.08664063</v>
      </c>
      <c r="G12" s="23">
        <f>(SUM($F$2:$F$25)-F12)/('Assumptions &amp; Model'!$B$5-1)</f>
        <v>97.09981997</v>
      </c>
      <c r="H12" s="23">
        <f t="shared" si="3"/>
        <v>-0.01317934783</v>
      </c>
      <c r="I12" s="24">
        <f t="shared" si="4"/>
        <v>-0.6987479855</v>
      </c>
      <c r="J12" s="25">
        <f>IF(E12&lt;=-3,MAX(0,-D12)/100*'Assumptions &amp; Model'!$B$3*'Assumptions &amp; Model'!$B$4,0)</f>
        <v>0</v>
      </c>
      <c r="K12" s="26">
        <f>J12*'Assumptions &amp; Model'!$B$6</f>
        <v>0</v>
      </c>
      <c r="L12" s="10" t="str">
        <f t="shared" si="5"/>
        <v>Normal</v>
      </c>
    </row>
    <row r="13">
      <c r="A13" s="10" t="s">
        <v>113</v>
      </c>
      <c r="B13" s="23">
        <f>AVERAGE('Apache Raw'!B13:AG13)</f>
        <v>95.26848438</v>
      </c>
      <c r="C13" s="23">
        <f>(SUM($B$2:$B$25)-B13)/('Assumptions &amp; Model'!$B$5-1)</f>
        <v>95.27014198</v>
      </c>
      <c r="D13" s="23">
        <f t="shared" si="1"/>
        <v>-0.001657608696</v>
      </c>
      <c r="E13" s="24">
        <f t="shared" si="2"/>
        <v>-0.03069415674</v>
      </c>
      <c r="F13" s="23">
        <f>AVERAGE('Odyssey Raw'!B13:AG13)</f>
        <v>97.07070313</v>
      </c>
      <c r="G13" s="23">
        <f>(SUM($F$2:$F$25)-F13)/('Assumptions &amp; Model'!$B$5-1)</f>
        <v>97.10051291</v>
      </c>
      <c r="H13" s="23">
        <f t="shared" si="3"/>
        <v>-0.02980978261</v>
      </c>
      <c r="I13" s="24">
        <f t="shared" si="4"/>
        <v>-1.580467093</v>
      </c>
      <c r="J13" s="25">
        <f>IF(E13&lt;=-3,MAX(0,-D13)/100*'Assumptions &amp; Model'!$B$3*'Assumptions &amp; Model'!$B$4,0)</f>
        <v>0</v>
      </c>
      <c r="K13" s="26">
        <f>J13*'Assumptions &amp; Model'!$B$6</f>
        <v>0</v>
      </c>
      <c r="L13" s="10" t="str">
        <f t="shared" si="5"/>
        <v>Normal</v>
      </c>
    </row>
    <row r="14">
      <c r="A14" s="10" t="s">
        <v>114</v>
      </c>
      <c r="B14" s="23">
        <f>AVERAGE('Apache Raw'!B14:AG14)</f>
        <v>95.28942188</v>
      </c>
      <c r="C14" s="23">
        <f>(SUM($B$2:$B$25)-B14)/('Assumptions &amp; Model'!$B$5-1)</f>
        <v>95.26923166</v>
      </c>
      <c r="D14" s="23">
        <f t="shared" si="1"/>
        <v>0.02019021739</v>
      </c>
      <c r="E14" s="24">
        <f t="shared" si="2"/>
        <v>0.3738648928</v>
      </c>
      <c r="F14" s="23">
        <f>AVERAGE('Odyssey Raw'!B14:AG14)</f>
        <v>97.10445313</v>
      </c>
      <c r="G14" s="23">
        <f>(SUM($F$2:$F$25)-F14)/('Assumptions &amp; Model'!$B$5-1)</f>
        <v>97.09904552</v>
      </c>
      <c r="H14" s="23">
        <f t="shared" si="3"/>
        <v>0.005407608696</v>
      </c>
      <c r="I14" s="24">
        <f t="shared" si="4"/>
        <v>0.2867027817</v>
      </c>
      <c r="J14" s="25">
        <f>IF(E14&lt;=-3,MAX(0,-D14)/100*'Assumptions &amp; Model'!$B$3*'Assumptions &amp; Model'!$B$4,0)</f>
        <v>0</v>
      </c>
      <c r="K14" s="26">
        <f>J14*'Assumptions &amp; Model'!$B$6</f>
        <v>0</v>
      </c>
      <c r="L14" s="10" t="str">
        <f t="shared" si="5"/>
        <v>Normal</v>
      </c>
    </row>
    <row r="15">
      <c r="A15" s="10" t="s">
        <v>116</v>
      </c>
      <c r="B15" s="23">
        <f>AVERAGE('Apache Raw'!B15:AG15)</f>
        <v>95.25754688</v>
      </c>
      <c r="C15" s="23">
        <f>(SUM($B$2:$B$25)-B15)/('Assumptions &amp; Model'!$B$5-1)</f>
        <v>95.27061753</v>
      </c>
      <c r="D15" s="23">
        <f t="shared" si="1"/>
        <v>-0.01307065217</v>
      </c>
      <c r="E15" s="24">
        <f t="shared" si="2"/>
        <v>-0.2420309737</v>
      </c>
      <c r="F15" s="23">
        <f>AVERAGE('Odyssey Raw'!B15:AG15)</f>
        <v>97.10726563</v>
      </c>
      <c r="G15" s="23">
        <f>(SUM($F$2:$F$25)-F15)/('Assumptions &amp; Model'!$B$5-1)</f>
        <v>97.09892323</v>
      </c>
      <c r="H15" s="23">
        <f t="shared" si="3"/>
        <v>0.008342391304</v>
      </c>
      <c r="I15" s="24">
        <f t="shared" si="4"/>
        <v>0.4423002712</v>
      </c>
      <c r="J15" s="25">
        <f>IF(E15&lt;=-3,MAX(0,-D15)/100*'Assumptions &amp; Model'!$B$3*'Assumptions &amp; Model'!$B$4,0)</f>
        <v>0</v>
      </c>
      <c r="K15" s="26">
        <f>J15*'Assumptions &amp; Model'!$B$6</f>
        <v>0</v>
      </c>
      <c r="L15" s="10" t="str">
        <f t="shared" si="5"/>
        <v>Normal</v>
      </c>
    </row>
    <row r="16">
      <c r="A16" s="10" t="s">
        <v>126</v>
      </c>
      <c r="B16" s="23">
        <f>AVERAGE('Apache Raw'!B16:AG16)</f>
        <v>95.27910938</v>
      </c>
      <c r="C16" s="23">
        <f>(SUM($B$2:$B$25)-B16)/('Assumptions &amp; Model'!$B$5-1)</f>
        <v>95.26968003</v>
      </c>
      <c r="D16" s="23">
        <f t="shared" si="1"/>
        <v>0.009429347826</v>
      </c>
      <c r="E16" s="24">
        <f t="shared" si="2"/>
        <v>0.1746044654</v>
      </c>
      <c r="F16" s="23">
        <f>AVERAGE('Odyssey Raw'!B16:AG16)</f>
        <v>97.08570313</v>
      </c>
      <c r="G16" s="23">
        <f>(SUM($F$2:$F$25)-F16)/('Assumptions &amp; Model'!$B$5-1)</f>
        <v>97.09986073</v>
      </c>
      <c r="H16" s="23">
        <f t="shared" si="3"/>
        <v>-0.0141576087</v>
      </c>
      <c r="I16" s="24">
        <f t="shared" si="4"/>
        <v>-0.7506138153</v>
      </c>
      <c r="J16" s="25">
        <f>IF(E16&lt;=-3,MAX(0,-D16)/100*'Assumptions &amp; Model'!$B$3*'Assumptions &amp; Model'!$B$4,0)</f>
        <v>0</v>
      </c>
      <c r="K16" s="26">
        <f>J16*'Assumptions &amp; Model'!$B$6</f>
        <v>0</v>
      </c>
      <c r="L16" s="10" t="str">
        <f t="shared" si="5"/>
        <v>Normal</v>
      </c>
    </row>
    <row r="17">
      <c r="A17" s="10" t="s">
        <v>139</v>
      </c>
      <c r="B17" s="23">
        <f>AVERAGE('Apache Raw'!B17:AG17)</f>
        <v>95.04160938</v>
      </c>
      <c r="C17" s="23">
        <f>(SUM($B$2:$B$25)-B17)/('Assumptions &amp; Model'!$B$5-1)</f>
        <v>95.28000611</v>
      </c>
      <c r="D17" s="23">
        <f t="shared" si="1"/>
        <v>-0.2383967391</v>
      </c>
      <c r="E17" s="24">
        <f t="shared" si="2"/>
        <v>-4.414423559</v>
      </c>
      <c r="F17" s="23">
        <f>AVERAGE('Odyssey Raw'!B17:AG17)</f>
        <v>97.10382813</v>
      </c>
      <c r="G17" s="23">
        <f>(SUM($F$2:$F$25)-F17)/('Assumptions &amp; Model'!$B$5-1)</f>
        <v>97.09907269</v>
      </c>
      <c r="H17" s="23">
        <f t="shared" si="3"/>
        <v>0.004755434783</v>
      </c>
      <c r="I17" s="24">
        <f t="shared" si="4"/>
        <v>0.2521255618</v>
      </c>
      <c r="J17" s="25">
        <f>IF(E17&lt;=-3,MAX(0,-D17)/100*'Assumptions &amp; Model'!$B$3*'Assumptions &amp; Model'!$B$4,0)</f>
        <v>762.8695652</v>
      </c>
      <c r="K17" s="26">
        <f>J17*'Assumptions &amp; Model'!$B$6</f>
        <v>133502.1739</v>
      </c>
      <c r="L17" s="10" t="str">
        <f t="shared" si="5"/>
        <v>Investigate Apache</v>
      </c>
    </row>
    <row r="18">
      <c r="A18" s="10" t="s">
        <v>140</v>
      </c>
      <c r="B18" s="23">
        <f>AVERAGE('Apache Raw'!B18:AG18)</f>
        <v>95.28817188</v>
      </c>
      <c r="C18" s="23">
        <f>(SUM($B$2:$B$25)-B18)/('Assumptions &amp; Model'!$B$5-1)</f>
        <v>95.26928601</v>
      </c>
      <c r="D18" s="23">
        <f t="shared" si="1"/>
        <v>0.01888586957</v>
      </c>
      <c r="E18" s="24">
        <f t="shared" si="2"/>
        <v>0.3497121137</v>
      </c>
      <c r="F18" s="23">
        <f>AVERAGE('Odyssey Raw'!B18:AG18)</f>
        <v>97.10007813</v>
      </c>
      <c r="G18" s="23">
        <f>(SUM($F$2:$F$25)-F18)/('Assumptions &amp; Model'!$B$5-1)</f>
        <v>97.09923573</v>
      </c>
      <c r="H18" s="23">
        <f t="shared" si="3"/>
        <v>0.0008423913043</v>
      </c>
      <c r="I18" s="24">
        <f t="shared" si="4"/>
        <v>0.04466224237</v>
      </c>
      <c r="J18" s="25">
        <f>IF(E18&lt;=-3,MAX(0,-D18)/100*'Assumptions &amp; Model'!$B$3*'Assumptions &amp; Model'!$B$4,0)</f>
        <v>0</v>
      </c>
      <c r="K18" s="26">
        <f>J18*'Assumptions &amp; Model'!$B$6</f>
        <v>0</v>
      </c>
      <c r="L18" s="10" t="str">
        <f t="shared" si="5"/>
        <v>Normal</v>
      </c>
    </row>
    <row r="19">
      <c r="A19" s="10" t="s">
        <v>141</v>
      </c>
      <c r="B19" s="23">
        <f>AVERAGE('Apache Raw'!B19:AG19)</f>
        <v>95.27442188</v>
      </c>
      <c r="C19" s="23">
        <f>(SUM($B$2:$B$25)-B19)/('Assumptions &amp; Model'!$B$5-1)</f>
        <v>95.26988383</v>
      </c>
      <c r="D19" s="23">
        <f t="shared" si="1"/>
        <v>0.004538043478</v>
      </c>
      <c r="E19" s="24">
        <f t="shared" si="2"/>
        <v>0.08403154387</v>
      </c>
      <c r="F19" s="23">
        <f>AVERAGE('Odyssey Raw'!B19:AG19)</f>
        <v>97.10257813</v>
      </c>
      <c r="G19" s="23">
        <f>(SUM($F$2:$F$25)-F19)/('Assumptions &amp; Model'!$B$5-1)</f>
        <v>97.09912704</v>
      </c>
      <c r="H19" s="23">
        <f t="shared" si="3"/>
        <v>0.003451086957</v>
      </c>
      <c r="I19" s="24">
        <f t="shared" si="4"/>
        <v>0.182971122</v>
      </c>
      <c r="J19" s="25">
        <f>IF(E19&lt;=-3,MAX(0,-D19)/100*'Assumptions &amp; Model'!$B$3*'Assumptions &amp; Model'!$B$4,0)</f>
        <v>0</v>
      </c>
      <c r="K19" s="26">
        <f>J19*'Assumptions &amp; Model'!$B$6</f>
        <v>0</v>
      </c>
      <c r="L19" s="10" t="str">
        <f t="shared" si="5"/>
        <v>Normal</v>
      </c>
    </row>
    <row r="20">
      <c r="A20" s="10" t="s">
        <v>142</v>
      </c>
      <c r="B20" s="23">
        <f>AVERAGE('Apache Raw'!B20:AG20)</f>
        <v>95.25629688</v>
      </c>
      <c r="C20" s="23">
        <f>(SUM($B$2:$B$25)-B20)/('Assumptions &amp; Model'!$B$5-1)</f>
        <v>95.27067188</v>
      </c>
      <c r="D20" s="23">
        <f t="shared" si="1"/>
        <v>-0.014375</v>
      </c>
      <c r="E20" s="24">
        <f t="shared" si="2"/>
        <v>-0.2661837528</v>
      </c>
      <c r="F20" s="23">
        <f>AVERAGE('Odyssey Raw'!B20:AG20)</f>
        <v>97.08757813</v>
      </c>
      <c r="G20" s="23">
        <f>(SUM($F$2:$F$25)-F20)/('Assumptions &amp; Model'!$B$5-1)</f>
        <v>97.09977921</v>
      </c>
      <c r="H20" s="23">
        <f t="shared" si="3"/>
        <v>-0.01220108696</v>
      </c>
      <c r="I20" s="24">
        <f t="shared" si="4"/>
        <v>-0.6468821556</v>
      </c>
      <c r="J20" s="25">
        <f>IF(E20&lt;=-3,MAX(0,-D20)/100*'Assumptions &amp; Model'!$B$3*'Assumptions &amp; Model'!$B$4,0)</f>
        <v>0</v>
      </c>
      <c r="K20" s="26">
        <f>J20*'Assumptions &amp; Model'!$B$6</f>
        <v>0</v>
      </c>
      <c r="L20" s="10" t="str">
        <f t="shared" si="5"/>
        <v>Normal</v>
      </c>
    </row>
    <row r="21" ht="15.75" customHeight="1">
      <c r="A21" s="10" t="s">
        <v>144</v>
      </c>
      <c r="B21" s="23">
        <f>AVERAGE('Apache Raw'!B21:AG21)</f>
        <v>95.27785938</v>
      </c>
      <c r="C21" s="23">
        <f>(SUM($B$2:$B$25)-B21)/('Assumptions &amp; Model'!$B$5-1)</f>
        <v>95.26973438</v>
      </c>
      <c r="D21" s="23">
        <f t="shared" si="1"/>
        <v>0.008125</v>
      </c>
      <c r="E21" s="24">
        <f t="shared" si="2"/>
        <v>0.1504516863</v>
      </c>
      <c r="F21" s="23">
        <f>AVERAGE('Odyssey Raw'!B21:AG21)</f>
        <v>97.10070313</v>
      </c>
      <c r="G21" s="23">
        <f>(SUM($F$2:$F$25)-F21)/('Assumptions &amp; Model'!$B$5-1)</f>
        <v>97.09920856</v>
      </c>
      <c r="H21" s="23">
        <f t="shared" si="3"/>
        <v>0.001494565217</v>
      </c>
      <c r="I21" s="24">
        <f t="shared" si="4"/>
        <v>0.07923946227</v>
      </c>
      <c r="J21" s="25">
        <f>IF(E21&lt;=-3,MAX(0,-D21)/100*'Assumptions &amp; Model'!$B$3*'Assumptions &amp; Model'!$B$4,0)</f>
        <v>0</v>
      </c>
      <c r="K21" s="26">
        <f>J21*'Assumptions &amp; Model'!$B$6</f>
        <v>0</v>
      </c>
      <c r="L21" s="10" t="str">
        <f t="shared" si="5"/>
        <v>Normal</v>
      </c>
    </row>
    <row r="22" ht="15.75" customHeight="1">
      <c r="A22" s="10" t="s">
        <v>146</v>
      </c>
      <c r="B22" s="23">
        <f>AVERAGE('Apache Raw'!B22:AG22)</f>
        <v>95.30629688</v>
      </c>
      <c r="C22" s="23">
        <f>(SUM($B$2:$B$25)-B22)/('Assumptions &amp; Model'!$B$5-1)</f>
        <v>95.26849796</v>
      </c>
      <c r="D22" s="23">
        <f t="shared" si="1"/>
        <v>0.03779891304</v>
      </c>
      <c r="E22" s="24">
        <f t="shared" si="2"/>
        <v>0.6999274104</v>
      </c>
      <c r="F22" s="23">
        <f>AVERAGE('Odyssey Raw'!B22:AG22)</f>
        <v>97.07976563</v>
      </c>
      <c r="G22" s="23">
        <f>(SUM($F$2:$F$25)-F22)/('Assumptions &amp; Model'!$B$5-1)</f>
        <v>97.10011889</v>
      </c>
      <c r="H22" s="23">
        <f t="shared" si="3"/>
        <v>-0.02035326087</v>
      </c>
      <c r="I22" s="24">
        <f t="shared" si="4"/>
        <v>-1.079097404</v>
      </c>
      <c r="J22" s="25">
        <f>IF(E22&lt;=-3,MAX(0,-D22)/100*'Assumptions &amp; Model'!$B$3*'Assumptions &amp; Model'!$B$4,0)</f>
        <v>0</v>
      </c>
      <c r="K22" s="26">
        <f>J22*'Assumptions &amp; Model'!$B$6</f>
        <v>0</v>
      </c>
      <c r="L22" s="10" t="str">
        <f t="shared" si="5"/>
        <v>Normal</v>
      </c>
    </row>
    <row r="23" ht="15.75" customHeight="1">
      <c r="A23" s="10" t="s">
        <v>147</v>
      </c>
      <c r="B23" s="23">
        <f>AVERAGE('Apache Raw'!B23:AG23)</f>
        <v>95.25848438</v>
      </c>
      <c r="C23" s="23">
        <f>(SUM($B$2:$B$25)-B23)/('Assumptions &amp; Model'!$B$5-1)</f>
        <v>95.27057677</v>
      </c>
      <c r="D23" s="23">
        <f t="shared" si="1"/>
        <v>-0.0120923913</v>
      </c>
      <c r="E23" s="24">
        <f t="shared" si="2"/>
        <v>-0.2239163894</v>
      </c>
      <c r="F23" s="23">
        <f>AVERAGE('Odyssey Raw'!B23:AG23)</f>
        <v>97.10507813</v>
      </c>
      <c r="G23" s="23">
        <f>(SUM($F$2:$F$25)-F23)/('Assumptions &amp; Model'!$B$5-1)</f>
        <v>97.09901834</v>
      </c>
      <c r="H23" s="23">
        <f t="shared" si="3"/>
        <v>0.006059782609</v>
      </c>
      <c r="I23" s="24">
        <f t="shared" si="4"/>
        <v>0.3212800016</v>
      </c>
      <c r="J23" s="25">
        <f>IF(E23&lt;=-3,MAX(0,-D23)/100*'Assumptions &amp; Model'!$B$3*'Assumptions &amp; Model'!$B$4,0)</f>
        <v>0</v>
      </c>
      <c r="K23" s="26">
        <f>J23*'Assumptions &amp; Model'!$B$6</f>
        <v>0</v>
      </c>
      <c r="L23" s="10" t="str">
        <f t="shared" si="5"/>
        <v>Normal</v>
      </c>
    </row>
    <row r="24" ht="15.75" customHeight="1">
      <c r="A24" s="10" t="s">
        <v>148</v>
      </c>
      <c r="B24" s="23">
        <f>AVERAGE('Apache Raw'!B24:AG24)</f>
        <v>95.27629688</v>
      </c>
      <c r="C24" s="23">
        <f>(SUM($B$2:$B$25)-B24)/('Assumptions &amp; Model'!$B$5-1)</f>
        <v>95.26980231</v>
      </c>
      <c r="D24" s="23">
        <f t="shared" si="1"/>
        <v>0.006494565217</v>
      </c>
      <c r="E24" s="24">
        <f t="shared" si="2"/>
        <v>0.1202607125</v>
      </c>
      <c r="F24" s="23">
        <f>AVERAGE('Odyssey Raw'!B24:AG24)</f>
        <v>97.10851563</v>
      </c>
      <c r="G24" s="23">
        <f>(SUM($F$2:$F$25)-F24)/('Assumptions &amp; Model'!$B$5-1)</f>
        <v>97.09886889</v>
      </c>
      <c r="H24" s="23">
        <f t="shared" si="3"/>
        <v>0.00964673913</v>
      </c>
      <c r="I24" s="24">
        <f t="shared" si="4"/>
        <v>0.511454711</v>
      </c>
      <c r="J24" s="25">
        <f>IF(E24&lt;=-3,MAX(0,-D24)/100*'Assumptions &amp; Model'!$B$3*'Assumptions &amp; Model'!$B$4,0)</f>
        <v>0</v>
      </c>
      <c r="K24" s="26">
        <f>J24*'Assumptions &amp; Model'!$B$6</f>
        <v>0</v>
      </c>
      <c r="L24" s="10" t="str">
        <f t="shared" si="5"/>
        <v>Normal</v>
      </c>
    </row>
    <row r="25" ht="15.75" customHeight="1">
      <c r="A25" s="10" t="s">
        <v>149</v>
      </c>
      <c r="B25" s="23">
        <f>AVERAGE('Apache Raw'!B25:AG25)</f>
        <v>95.25535938</v>
      </c>
      <c r="C25" s="23">
        <f>(SUM($B$2:$B$25)-B25)/('Assumptions &amp; Model'!$B$5-1)</f>
        <v>95.27071264</v>
      </c>
      <c r="D25" s="23">
        <f t="shared" si="1"/>
        <v>-0.01535326087</v>
      </c>
      <c r="E25" s="24">
        <f t="shared" si="2"/>
        <v>-0.2842983371</v>
      </c>
      <c r="F25" s="23">
        <f>AVERAGE('Odyssey Raw'!B25:AG25)</f>
        <v>97.13664063</v>
      </c>
      <c r="G25" s="23">
        <f>(SUM($F$2:$F$25)-F25)/('Assumptions &amp; Model'!$B$5-1)</f>
        <v>97.09764606</v>
      </c>
      <c r="H25" s="23">
        <f t="shared" si="3"/>
        <v>0.03899456522</v>
      </c>
      <c r="I25" s="24">
        <f t="shared" si="4"/>
        <v>2.067429606</v>
      </c>
      <c r="J25" s="25">
        <f>IF(E25&lt;=-3,MAX(0,-D25)/100*'Assumptions &amp; Model'!$B$3*'Assumptions &amp; Model'!$B$4,0)</f>
        <v>0</v>
      </c>
      <c r="K25" s="26">
        <f>J25*'Assumptions &amp; Model'!$B$6</f>
        <v>0</v>
      </c>
      <c r="L25" s="10" t="str">
        <f t="shared" si="5"/>
        <v>Normal</v>
      </c>
    </row>
    <row r="26" ht="15.75" customHeight="1"/>
    <row r="27" ht="15.75" customHeight="1"/>
    <row r="28" ht="15.75" customHeight="1">
      <c r="A28" s="21" t="s">
        <v>165</v>
      </c>
      <c r="J28" s="21" t="s">
        <v>166</v>
      </c>
      <c r="K28" s="21" t="s">
        <v>167</v>
      </c>
    </row>
    <row r="29" ht="15.75" customHeight="1">
      <c r="A29" s="44" t="s">
        <v>115</v>
      </c>
      <c r="B29" s="44" t="s">
        <v>168</v>
      </c>
      <c r="C29" s="44" t="s">
        <v>128</v>
      </c>
      <c r="D29" s="44" t="s">
        <v>169</v>
      </c>
      <c r="E29" s="44" t="s">
        <v>170</v>
      </c>
      <c r="F29" s="44" t="s">
        <v>171</v>
      </c>
      <c r="G29" s="44" t="s">
        <v>132</v>
      </c>
      <c r="H29" s="44" t="s">
        <v>172</v>
      </c>
      <c r="J29" s="16" t="s">
        <v>173</v>
      </c>
      <c r="K29" s="12">
        <f>COUNTIF($D$30:$D$61,"&lt;0")</f>
        <v>32</v>
      </c>
    </row>
    <row r="30" ht="15.75" customHeight="1">
      <c r="A30" s="12">
        <v>1.0</v>
      </c>
      <c r="B30" s="20">
        <f>'Apache Raw'!B$17</f>
        <v>95.189</v>
      </c>
      <c r="C30" s="20">
        <f>(SUM('Apache Raw'!B$2:B$25)-'Apache Raw'!B$17)/('Assumptions &amp; Model'!$B$5-1)</f>
        <v>95.46073913</v>
      </c>
      <c r="D30" s="20">
        <f t="shared" ref="D30:D61" si="6">B30-C30</f>
        <v>-0.2717391304</v>
      </c>
      <c r="E30" s="12">
        <f>IF(B30=MIN('Apache Raw'!B$2:B$25),1,0)</f>
        <v>1</v>
      </c>
      <c r="F30" s="20">
        <f>'Odyssey Raw'!B$17</f>
        <v>97.3125</v>
      </c>
      <c r="G30" s="20">
        <f>(SUM('Odyssey Raw'!B$2:B$25)-'Odyssey Raw'!B$17)/('Assumptions &amp; Model'!$B$5-1)</f>
        <v>97.14945652</v>
      </c>
      <c r="H30" s="20">
        <f t="shared" ref="H30:H61" si="7">F30-G30</f>
        <v>0.1630434783</v>
      </c>
      <c r="J30" s="16" t="s">
        <v>174</v>
      </c>
      <c r="K30" s="12">
        <f>SUM($E$30:$E$61)</f>
        <v>23</v>
      </c>
    </row>
    <row r="31" ht="15.75" customHeight="1">
      <c r="A31" s="12">
        <v>2.0</v>
      </c>
      <c r="B31" s="20">
        <f>'Apache Raw'!C$17</f>
        <v>94.6705</v>
      </c>
      <c r="C31" s="20">
        <f>(SUM('Apache Raw'!C$2:C$25)-'Apache Raw'!C$17)/('Assumptions &amp; Model'!$B$5-1)</f>
        <v>95.0278913</v>
      </c>
      <c r="D31" s="20">
        <f t="shared" si="6"/>
        <v>-0.3573913043</v>
      </c>
      <c r="E31" s="12">
        <f>IF(B31=MIN('Apache Raw'!C$2:C$25),1,0)</f>
        <v>1</v>
      </c>
      <c r="F31" s="20">
        <f>'Odyssey Raw'!C$17</f>
        <v>96.8105</v>
      </c>
      <c r="G31" s="20">
        <f>(SUM('Odyssey Raw'!C$2:C$25)-'Odyssey Raw'!C$17)/('Assumptions &amp; Model'!$B$5-1)</f>
        <v>96.97963043</v>
      </c>
      <c r="H31" s="20">
        <f t="shared" si="7"/>
        <v>-0.1691304348</v>
      </c>
      <c r="J31" s="16" t="s">
        <v>175</v>
      </c>
      <c r="K31" s="20">
        <f>AVERAGE($H$30:$H$61)</f>
        <v>0.004755434783</v>
      </c>
    </row>
    <row r="32" ht="15.75" customHeight="1">
      <c r="A32" s="12">
        <v>3.0</v>
      </c>
      <c r="B32" s="20">
        <f>'Apache Raw'!D$17</f>
        <v>94.6555</v>
      </c>
      <c r="C32" s="20">
        <f>(SUM('Apache Raw'!D$2:D$25)-'Apache Raw'!D$17)/('Assumptions &amp; Model'!$B$5-1)</f>
        <v>94.93636957</v>
      </c>
      <c r="D32" s="20">
        <f t="shared" si="6"/>
        <v>-0.2808695652</v>
      </c>
      <c r="E32" s="12">
        <f>IF(B32=MIN('Apache Raw'!D$2:D$25),1,0)</f>
        <v>1</v>
      </c>
      <c r="F32" s="20">
        <f>'Odyssey Raw'!D$17</f>
        <v>97.112</v>
      </c>
      <c r="G32" s="20">
        <f>(SUM('Odyssey Raw'!D$2:D$25)-'Odyssey Raw'!D$17)/('Assumptions &amp; Model'!$B$5-1)</f>
        <v>96.96808696</v>
      </c>
      <c r="H32" s="20">
        <f t="shared" si="7"/>
        <v>0.1439130435</v>
      </c>
    </row>
    <row r="33" ht="15.75" customHeight="1">
      <c r="A33" s="12">
        <v>4.0</v>
      </c>
      <c r="B33" s="20">
        <f>'Apache Raw'!E$17</f>
        <v>94.9455</v>
      </c>
      <c r="C33" s="20">
        <f>(SUM('Apache Raw'!E$2:E$25)-'Apache Raw'!E$17)/('Assumptions &amp; Model'!$B$5-1)</f>
        <v>95.19854348</v>
      </c>
      <c r="D33" s="20">
        <f t="shared" si="6"/>
        <v>-0.2530434783</v>
      </c>
      <c r="E33" s="12">
        <f>IF(B33=MIN('Apache Raw'!E$2:E$25),1,0)</f>
        <v>1</v>
      </c>
      <c r="F33" s="20">
        <f>'Odyssey Raw'!E$17</f>
        <v>96.9175</v>
      </c>
      <c r="G33" s="20">
        <f>(SUM('Odyssey Raw'!E$2:E$25)-'Odyssey Raw'!E$17)/('Assumptions &amp; Model'!$B$5-1)</f>
        <v>97.03923913</v>
      </c>
      <c r="H33" s="20">
        <f t="shared" si="7"/>
        <v>-0.1217391304</v>
      </c>
    </row>
    <row r="34" ht="15.75" customHeight="1">
      <c r="A34" s="12">
        <v>5.0</v>
      </c>
      <c r="B34" s="20">
        <f>'Apache Raw'!F$17</f>
        <v>95.3865</v>
      </c>
      <c r="C34" s="20">
        <f>(SUM('Apache Raw'!F$2:F$25)-'Apache Raw'!F$17)/('Assumptions &amp; Model'!$B$5-1)</f>
        <v>95.64215217</v>
      </c>
      <c r="D34" s="20">
        <f t="shared" si="6"/>
        <v>-0.2556521739</v>
      </c>
      <c r="E34" s="12">
        <f>IF(B34=MIN('Apache Raw'!F$2:F$25),1,0)</f>
        <v>1</v>
      </c>
      <c r="F34" s="20">
        <f>'Odyssey Raw'!F$17</f>
        <v>97.0495</v>
      </c>
      <c r="G34" s="20">
        <f>(SUM('Odyssey Raw'!F$2:F$25)-'Odyssey Raw'!F$17)/('Assumptions &amp; Model'!$B$5-1)</f>
        <v>97.19123913</v>
      </c>
      <c r="H34" s="20">
        <f t="shared" si="7"/>
        <v>-0.1417391304</v>
      </c>
    </row>
    <row r="35" ht="15.75" customHeight="1">
      <c r="A35" s="12">
        <v>6.0</v>
      </c>
      <c r="B35" s="20">
        <f>'Apache Raw'!G$17</f>
        <v>95.2685</v>
      </c>
      <c r="C35" s="20">
        <f>(SUM('Apache Raw'!G$2:G$25)-'Apache Raw'!G$17)/('Assumptions &amp; Model'!$B$5-1)</f>
        <v>95.59676087</v>
      </c>
      <c r="D35" s="20">
        <f t="shared" si="6"/>
        <v>-0.3282608696</v>
      </c>
      <c r="E35" s="12">
        <f>IF(B35=MIN('Apache Raw'!G$2:G$25),1,0)</f>
        <v>1</v>
      </c>
      <c r="F35" s="20">
        <f>'Odyssey Raw'!G$17</f>
        <v>97.1715</v>
      </c>
      <c r="G35" s="20">
        <f>(SUM('Odyssey Raw'!G$2:G$25)-'Odyssey Raw'!G$17)/('Assumptions &amp; Model'!$B$5-1)</f>
        <v>97.19802174</v>
      </c>
      <c r="H35" s="20">
        <f t="shared" si="7"/>
        <v>-0.02652173913</v>
      </c>
    </row>
    <row r="36" ht="15.75" customHeight="1">
      <c r="A36" s="12">
        <v>7.0</v>
      </c>
      <c r="B36" s="20">
        <f>'Apache Raw'!H$17</f>
        <v>94.795</v>
      </c>
      <c r="C36" s="20">
        <f>(SUM('Apache Raw'!H$2:H$25)-'Apache Raw'!H$17)/('Assumptions &amp; Model'!$B$5-1)</f>
        <v>95.02630435</v>
      </c>
      <c r="D36" s="20">
        <f t="shared" si="6"/>
        <v>-0.2313043478</v>
      </c>
      <c r="E36" s="12">
        <f>IF(B36=MIN('Apache Raw'!H$2:H$25),1,0)</f>
        <v>1</v>
      </c>
      <c r="F36" s="20">
        <f>'Odyssey Raw'!H$17</f>
        <v>96.945</v>
      </c>
      <c r="G36" s="20">
        <f>(SUM('Odyssey Raw'!H$2:H$25)-'Odyssey Raw'!H$17)/('Assumptions &amp; Model'!$B$5-1)</f>
        <v>97.05934783</v>
      </c>
      <c r="H36" s="20">
        <f t="shared" si="7"/>
        <v>-0.1143478261</v>
      </c>
    </row>
    <row r="37" ht="15.75" customHeight="1">
      <c r="A37" s="12">
        <v>8.0</v>
      </c>
      <c r="B37" s="20">
        <f>'Apache Raw'!I$17</f>
        <v>95.587</v>
      </c>
      <c r="C37" s="20">
        <f>(SUM('Apache Raw'!I$2:I$25)-'Apache Raw'!I$17)/('Assumptions &amp; Model'!$B$5-1)</f>
        <v>95.76352174</v>
      </c>
      <c r="D37" s="20">
        <f t="shared" si="6"/>
        <v>-0.1765217391</v>
      </c>
      <c r="E37" s="12">
        <f>IF(B37=MIN('Apache Raw'!I$2:I$25),1,0)</f>
        <v>1</v>
      </c>
      <c r="F37" s="20">
        <f>'Odyssey Raw'!I$17</f>
        <v>97.242</v>
      </c>
      <c r="G37" s="20">
        <f>(SUM('Odyssey Raw'!I$2:I$25)-'Odyssey Raw'!I$17)/('Assumptions &amp; Model'!$B$5-1)</f>
        <v>97.20852174</v>
      </c>
      <c r="H37" s="20">
        <f t="shared" si="7"/>
        <v>0.03347826087</v>
      </c>
    </row>
    <row r="38" ht="15.75" customHeight="1">
      <c r="A38" s="12">
        <v>9.0</v>
      </c>
      <c r="B38" s="20">
        <f>'Apache Raw'!J$17</f>
        <v>95.023</v>
      </c>
      <c r="C38" s="20">
        <f>(SUM('Apache Raw'!J$2:J$25)-'Apache Raw'!J$17)/('Assumptions &amp; Model'!$B$5-1)</f>
        <v>95.23082609</v>
      </c>
      <c r="D38" s="20">
        <f t="shared" si="6"/>
        <v>-0.207826087</v>
      </c>
      <c r="E38" s="12">
        <f>IF(B38=MIN('Apache Raw'!J$2:J$25),1,0)</f>
        <v>1</v>
      </c>
      <c r="F38" s="20">
        <f>'Odyssey Raw'!J$17</f>
        <v>96.9995</v>
      </c>
      <c r="G38" s="20">
        <f>(SUM('Odyssey Raw'!J$2:J$25)-'Odyssey Raw'!J$17)/('Assumptions &amp; Model'!$B$5-1)</f>
        <v>97.04776087</v>
      </c>
      <c r="H38" s="20">
        <f t="shared" si="7"/>
        <v>-0.04826086957</v>
      </c>
    </row>
    <row r="39" ht="15.75" customHeight="1">
      <c r="A39" s="12">
        <v>10.0</v>
      </c>
      <c r="B39" s="20">
        <f>'Apache Raw'!K$17</f>
        <v>94.6775</v>
      </c>
      <c r="C39" s="20">
        <f>(SUM('Apache Raw'!K$2:K$25)-'Apache Raw'!K$17)/('Assumptions &amp; Model'!$B$5-1)</f>
        <v>94.97967391</v>
      </c>
      <c r="D39" s="20">
        <f t="shared" si="6"/>
        <v>-0.302173913</v>
      </c>
      <c r="E39" s="12">
        <f>IF(B39=MIN('Apache Raw'!K$2:K$25),1,0)</f>
        <v>1</v>
      </c>
      <c r="F39" s="20">
        <f>'Odyssey Raw'!K$17</f>
        <v>97.181</v>
      </c>
      <c r="G39" s="20">
        <f>(SUM('Odyssey Raw'!K$2:K$25)-'Odyssey Raw'!K$17)/('Assumptions &amp; Model'!$B$5-1)</f>
        <v>97.00621739</v>
      </c>
      <c r="H39" s="20">
        <f t="shared" si="7"/>
        <v>0.1747826087</v>
      </c>
    </row>
    <row r="40" ht="15.75" customHeight="1">
      <c r="A40" s="12">
        <v>11.0</v>
      </c>
      <c r="B40" s="20">
        <f>'Apache Raw'!L$17</f>
        <v>95.066</v>
      </c>
      <c r="C40" s="20">
        <f>(SUM('Apache Raw'!L$2:L$25)-'Apache Raw'!L$17)/('Assumptions &amp; Model'!$B$5-1)</f>
        <v>95.47295652</v>
      </c>
      <c r="D40" s="20">
        <f t="shared" si="6"/>
        <v>-0.4069565217</v>
      </c>
      <c r="E40" s="12">
        <f>IF(B40=MIN('Apache Raw'!L$2:L$25),1,0)</f>
        <v>1</v>
      </c>
      <c r="F40" s="20">
        <f>'Odyssey Raw'!L$17</f>
        <v>97.0385</v>
      </c>
      <c r="G40" s="20">
        <f>(SUM('Odyssey Raw'!L$2:L$25)-'Odyssey Raw'!L$17)/('Assumptions &amp; Model'!$B$5-1)</f>
        <v>97.17936957</v>
      </c>
      <c r="H40" s="20">
        <f t="shared" si="7"/>
        <v>-0.1408695652</v>
      </c>
    </row>
    <row r="41" ht="15.75" customHeight="1">
      <c r="A41" s="12">
        <v>12.0</v>
      </c>
      <c r="B41" s="20">
        <f>'Apache Raw'!M$17</f>
        <v>94.9825</v>
      </c>
      <c r="C41" s="20">
        <f>(SUM('Apache Raw'!M$2:M$25)-'Apache Raw'!M$17)/('Assumptions &amp; Model'!$B$5-1)</f>
        <v>95.07467391</v>
      </c>
      <c r="D41" s="20">
        <f t="shared" si="6"/>
        <v>-0.09217391304</v>
      </c>
      <c r="E41" s="12">
        <f>IF(B41=MIN('Apache Raw'!M$2:M$25),1,0)</f>
        <v>0</v>
      </c>
      <c r="F41" s="20">
        <f>'Odyssey Raw'!M$17</f>
        <v>97.186</v>
      </c>
      <c r="G41" s="20">
        <f>(SUM('Odyssey Raw'!M$2:M$25)-'Odyssey Raw'!M$17)/('Assumptions &amp; Model'!$B$5-1)</f>
        <v>97.0386087</v>
      </c>
      <c r="H41" s="20">
        <f t="shared" si="7"/>
        <v>0.1473913043</v>
      </c>
    </row>
    <row r="42" ht="15.75" customHeight="1">
      <c r="A42" s="12">
        <v>13.0</v>
      </c>
      <c r="B42" s="20">
        <f>'Apache Raw'!N$17</f>
        <v>95.1165</v>
      </c>
      <c r="C42" s="20">
        <f>(SUM('Apache Raw'!N$2:N$25)-'Apache Raw'!N$17)/('Assumptions &amp; Model'!$B$5-1)</f>
        <v>95.38476087</v>
      </c>
      <c r="D42" s="20">
        <f t="shared" si="6"/>
        <v>-0.2682608696</v>
      </c>
      <c r="E42" s="12">
        <f>IF(B42=MIN('Apache Raw'!N$2:N$25),1,0)</f>
        <v>1</v>
      </c>
      <c r="F42" s="20">
        <f>'Odyssey Raw'!N$17</f>
        <v>97.091</v>
      </c>
      <c r="G42" s="20">
        <f>(SUM('Odyssey Raw'!N$2:N$25)-'Odyssey Raw'!N$17)/('Assumptions &amp; Model'!$B$5-1)</f>
        <v>97.14230435</v>
      </c>
      <c r="H42" s="20">
        <f t="shared" si="7"/>
        <v>-0.05130434783</v>
      </c>
    </row>
    <row r="43" ht="15.75" customHeight="1">
      <c r="A43" s="12">
        <v>14.0</v>
      </c>
      <c r="B43" s="20">
        <f>'Apache Raw'!O$17</f>
        <v>95.0315</v>
      </c>
      <c r="C43" s="20">
        <f>(SUM('Apache Raw'!O$2:O$25)-'Apache Raw'!O$17)/('Assumptions &amp; Model'!$B$5-1)</f>
        <v>95.14584783</v>
      </c>
      <c r="D43" s="20">
        <f t="shared" si="6"/>
        <v>-0.1143478261</v>
      </c>
      <c r="E43" s="12">
        <f>IF(B43=MIN('Apache Raw'!O$2:O$25),1,0)</f>
        <v>0</v>
      </c>
      <c r="F43" s="20">
        <f>'Odyssey Raw'!O$17</f>
        <v>97.048</v>
      </c>
      <c r="G43" s="20">
        <f>(SUM('Odyssey Raw'!O$2:O$25)-'Odyssey Raw'!O$17)/('Assumptions &amp; Model'!$B$5-1)</f>
        <v>97.01278261</v>
      </c>
      <c r="H43" s="20">
        <f t="shared" si="7"/>
        <v>0.0352173913</v>
      </c>
    </row>
    <row r="44" ht="15.75" customHeight="1">
      <c r="A44" s="12">
        <v>15.0</v>
      </c>
      <c r="B44" s="20">
        <f>'Apache Raw'!P$17</f>
        <v>95.3625</v>
      </c>
      <c r="C44" s="20">
        <f>(SUM('Apache Raw'!P$2:P$25)-'Apache Raw'!P$17)/('Assumptions &amp; Model'!$B$5-1)</f>
        <v>95.62902174</v>
      </c>
      <c r="D44" s="20">
        <f t="shared" si="6"/>
        <v>-0.2665217391</v>
      </c>
      <c r="E44" s="12">
        <f>IF(B44=MIN('Apache Raw'!P$2:P$25),1,0)</f>
        <v>1</v>
      </c>
      <c r="F44" s="20">
        <f>'Odyssey Raw'!P$17</f>
        <v>97.3525</v>
      </c>
      <c r="G44" s="20">
        <f>(SUM('Odyssey Raw'!P$2:P$25)-'Odyssey Raw'!P$17)/('Assumptions &amp; Model'!$B$5-1)</f>
        <v>97.22380435</v>
      </c>
      <c r="H44" s="20">
        <f t="shared" si="7"/>
        <v>0.1286956522</v>
      </c>
    </row>
    <row r="45" ht="15.75" customHeight="1">
      <c r="A45" s="12">
        <v>16.0</v>
      </c>
      <c r="B45" s="20">
        <f>'Apache Raw'!Q$17</f>
        <v>94.948</v>
      </c>
      <c r="C45" s="20">
        <f>(SUM('Apache Raw'!Q$2:Q$25)-'Apache Raw'!Q$17)/('Assumptions &amp; Model'!$B$5-1)</f>
        <v>95.11321739</v>
      </c>
      <c r="D45" s="20">
        <f t="shared" si="6"/>
        <v>-0.1652173913</v>
      </c>
      <c r="E45" s="12">
        <f>IF(B45=MIN('Apache Raw'!Q$2:Q$25),1,0)</f>
        <v>0</v>
      </c>
      <c r="F45" s="20">
        <f>'Odyssey Raw'!Q$17</f>
        <v>96.897</v>
      </c>
      <c r="G45" s="20">
        <f>(SUM('Odyssey Raw'!Q$2:Q$25)-'Odyssey Raw'!Q$17)/('Assumptions &amp; Model'!$B$5-1)</f>
        <v>97.037</v>
      </c>
      <c r="H45" s="20">
        <f t="shared" si="7"/>
        <v>-0.14</v>
      </c>
    </row>
    <row r="46" ht="15.75" customHeight="1">
      <c r="A46" s="12">
        <v>17.0</v>
      </c>
      <c r="B46" s="20">
        <f>'Apache Raw'!R$17</f>
        <v>95.1045</v>
      </c>
      <c r="C46" s="20">
        <f>(SUM('Apache Raw'!R$2:R$25)-'Apache Raw'!R$17)/('Assumptions &amp; Model'!$B$5-1)</f>
        <v>95.44580435</v>
      </c>
      <c r="D46" s="20">
        <f t="shared" si="6"/>
        <v>-0.3413043478</v>
      </c>
      <c r="E46" s="12">
        <f>IF(B46=MIN('Apache Raw'!R$2:R$25),1,0)</f>
        <v>1</v>
      </c>
      <c r="F46" s="20">
        <f>'Odyssey Raw'!R$17</f>
        <v>96.951</v>
      </c>
      <c r="G46" s="20">
        <f>(SUM('Odyssey Raw'!R$2:R$25)-'Odyssey Raw'!R$17)/('Assumptions &amp; Model'!$B$5-1)</f>
        <v>97.15013043</v>
      </c>
      <c r="H46" s="20">
        <f t="shared" si="7"/>
        <v>-0.1991304348</v>
      </c>
    </row>
    <row r="47" ht="15.75" customHeight="1">
      <c r="A47" s="12">
        <v>18.0</v>
      </c>
      <c r="B47" s="20">
        <f>'Apache Raw'!S$17</f>
        <v>95.4595</v>
      </c>
      <c r="C47" s="20">
        <f>(SUM('Apache Raw'!S$2:S$25)-'Apache Raw'!S$17)/('Assumptions &amp; Model'!$B$5-1)</f>
        <v>95.49819565</v>
      </c>
      <c r="D47" s="20">
        <f t="shared" si="6"/>
        <v>-0.03869565217</v>
      </c>
      <c r="E47" s="12">
        <f>IF(B47=MIN('Apache Raw'!S$2:S$25),1,0)</f>
        <v>0</v>
      </c>
      <c r="F47" s="20">
        <f>'Odyssey Raw'!S$17</f>
        <v>97.0225</v>
      </c>
      <c r="G47" s="20">
        <f>(SUM('Odyssey Raw'!S$2:S$25)-'Odyssey Raw'!S$17)/('Assumptions &amp; Model'!$B$5-1)</f>
        <v>97.16902174</v>
      </c>
      <c r="H47" s="20">
        <f t="shared" si="7"/>
        <v>-0.1465217391</v>
      </c>
    </row>
    <row r="48" ht="15.75" customHeight="1">
      <c r="A48" s="12">
        <v>19.0</v>
      </c>
      <c r="B48" s="20">
        <f>'Apache Raw'!T$17</f>
        <v>94.916</v>
      </c>
      <c r="C48" s="20">
        <f>(SUM('Apache Raw'!T$2:T$25)-'Apache Raw'!T$17)/('Assumptions &amp; Model'!$B$5-1)</f>
        <v>94.93643478</v>
      </c>
      <c r="D48" s="20">
        <f t="shared" si="6"/>
        <v>-0.02043478261</v>
      </c>
      <c r="E48" s="12">
        <f>IF(B48=MIN('Apache Raw'!T$2:T$25),1,0)</f>
        <v>0</v>
      </c>
      <c r="F48" s="20">
        <f>'Odyssey Raw'!T$17</f>
        <v>97.157</v>
      </c>
      <c r="G48" s="20">
        <f>(SUM('Odyssey Raw'!T$2:T$25)-'Odyssey Raw'!T$17)/('Assumptions &amp; Model'!$B$5-1)</f>
        <v>97.04004348</v>
      </c>
      <c r="H48" s="20">
        <f t="shared" si="7"/>
        <v>0.1169565217</v>
      </c>
    </row>
    <row r="49" ht="15.75" customHeight="1">
      <c r="A49" s="12">
        <v>20.0</v>
      </c>
      <c r="B49" s="20">
        <f>'Apache Raw'!U$17</f>
        <v>95.197</v>
      </c>
      <c r="C49" s="20">
        <f>(SUM('Apache Raw'!U$2:U$25)-'Apache Raw'!U$17)/('Assumptions &amp; Model'!$B$5-1)</f>
        <v>95.48004348</v>
      </c>
      <c r="D49" s="20">
        <f t="shared" si="6"/>
        <v>-0.2830434783</v>
      </c>
      <c r="E49" s="12">
        <f>IF(B49=MIN('Apache Raw'!U$2:U$25),1,0)</f>
        <v>1</v>
      </c>
      <c r="F49" s="20">
        <f>'Odyssey Raw'!U$17</f>
        <v>97.3325</v>
      </c>
      <c r="G49" s="20">
        <f>(SUM('Odyssey Raw'!U$2:U$25)-'Odyssey Raw'!U$17)/('Assumptions &amp; Model'!$B$5-1)</f>
        <v>97.17597826</v>
      </c>
      <c r="H49" s="20">
        <f t="shared" si="7"/>
        <v>0.1565217391</v>
      </c>
    </row>
    <row r="50" ht="15.75" customHeight="1">
      <c r="A50" s="12">
        <v>21.0</v>
      </c>
      <c r="B50" s="20">
        <f>'Apache Raw'!V$17</f>
        <v>94.7865</v>
      </c>
      <c r="C50" s="20">
        <f>(SUM('Apache Raw'!V$2:V$25)-'Apache Raw'!V$17)/('Assumptions &amp; Model'!$B$5-1)</f>
        <v>95.17215217</v>
      </c>
      <c r="D50" s="20">
        <f t="shared" si="6"/>
        <v>-0.3856521739</v>
      </c>
      <c r="E50" s="12">
        <f>IF(B50=MIN('Apache Raw'!V$2:V$25),1,0)</f>
        <v>1</v>
      </c>
      <c r="F50" s="20">
        <f>'Odyssey Raw'!V$17</f>
        <v>97.1955</v>
      </c>
      <c r="G50" s="20">
        <f>(SUM('Odyssey Raw'!V$2:V$25)-'Odyssey Raw'!V$17)/('Assumptions &amp; Model'!$B$5-1)</f>
        <v>97.07158696</v>
      </c>
      <c r="H50" s="20">
        <f t="shared" si="7"/>
        <v>0.1239130435</v>
      </c>
    </row>
    <row r="51" ht="15.75" customHeight="1">
      <c r="A51" s="12">
        <v>22.0</v>
      </c>
      <c r="B51" s="20">
        <f>'Apache Raw'!W$17</f>
        <v>94.943</v>
      </c>
      <c r="C51" s="20">
        <f>(SUM('Apache Raw'!W$2:W$25)-'Apache Raw'!W$17)/('Assumptions &amp; Model'!$B$5-1)</f>
        <v>95.39343478</v>
      </c>
      <c r="D51" s="20">
        <f t="shared" si="6"/>
        <v>-0.4504347826</v>
      </c>
      <c r="E51" s="12">
        <f>IF(B51=MIN('Apache Raw'!W$2:W$25),1,0)</f>
        <v>1</v>
      </c>
      <c r="F51" s="20">
        <f>'Odyssey Raw'!W$17</f>
        <v>97.2445</v>
      </c>
      <c r="G51" s="20">
        <f>(SUM('Odyssey Raw'!W$2:W$25)-'Odyssey Raw'!W$17)/('Assumptions &amp; Model'!$B$5-1)</f>
        <v>97.14884783</v>
      </c>
      <c r="H51" s="20">
        <f t="shared" si="7"/>
        <v>0.09565217391</v>
      </c>
    </row>
    <row r="52" ht="15.75" customHeight="1">
      <c r="A52" s="12">
        <v>23.0</v>
      </c>
      <c r="B52" s="20">
        <f>'Apache Raw'!X$17</f>
        <v>95.512</v>
      </c>
      <c r="C52" s="20">
        <f>(SUM('Apache Raw'!X$2:X$25)-'Apache Raw'!X$17)/('Assumptions &amp; Model'!$B$5-1)</f>
        <v>95.67721739</v>
      </c>
      <c r="D52" s="20">
        <f t="shared" si="6"/>
        <v>-0.1652173913</v>
      </c>
      <c r="E52" s="12">
        <f>IF(B52=MIN('Apache Raw'!X$2:X$25),1,0)</f>
        <v>1</v>
      </c>
      <c r="F52" s="20">
        <f>'Odyssey Raw'!X$17</f>
        <v>97.1125</v>
      </c>
      <c r="G52" s="20">
        <f>(SUM('Odyssey Raw'!X$2:X$25)-'Odyssey Raw'!X$17)/('Assumptions &amp; Model'!$B$5-1)</f>
        <v>97.20032609</v>
      </c>
      <c r="H52" s="20">
        <f t="shared" si="7"/>
        <v>-0.08782608696</v>
      </c>
    </row>
    <row r="53" ht="15.75" customHeight="1">
      <c r="A53" s="12">
        <v>24.0</v>
      </c>
      <c r="B53" s="20">
        <f>'Apache Raw'!Y$17</f>
        <v>95.0355</v>
      </c>
      <c r="C53" s="20">
        <f>(SUM('Apache Raw'!Y$2:Y$25)-'Apache Raw'!Y$17)/('Assumptions &amp; Model'!$B$5-1)</f>
        <v>95.20984783</v>
      </c>
      <c r="D53" s="20">
        <f t="shared" si="6"/>
        <v>-0.1743478261</v>
      </c>
      <c r="E53" s="12">
        <f>IF(B53=MIN('Apache Raw'!Y$2:Y$25),1,0)</f>
        <v>0</v>
      </c>
      <c r="F53" s="20">
        <f>'Odyssey Raw'!Y$17</f>
        <v>97.2565</v>
      </c>
      <c r="G53" s="20">
        <f>(SUM('Odyssey Raw'!Y$2:Y$25)-'Odyssey Raw'!Y$17)/('Assumptions &amp; Model'!$B$5-1)</f>
        <v>97.08867391</v>
      </c>
      <c r="H53" s="20">
        <f t="shared" si="7"/>
        <v>0.167826087</v>
      </c>
    </row>
    <row r="54" ht="15.75" customHeight="1">
      <c r="A54" s="12">
        <v>25.0</v>
      </c>
      <c r="B54" s="20">
        <f>'Apache Raw'!Z$17</f>
        <v>95.4105</v>
      </c>
      <c r="C54" s="20">
        <f>(SUM('Apache Raw'!Z$2:Z$25)-'Apache Raw'!Z$17)/('Assumptions &amp; Model'!$B$5-1)</f>
        <v>95.60963043</v>
      </c>
      <c r="D54" s="20">
        <f t="shared" si="6"/>
        <v>-0.1991304348</v>
      </c>
      <c r="E54" s="12">
        <f>IF(B54=MIN('Apache Raw'!Z$2:Z$25),1,0)</f>
        <v>1</v>
      </c>
      <c r="F54" s="20">
        <f>'Odyssey Raw'!Z$17</f>
        <v>97.0385</v>
      </c>
      <c r="G54" s="20">
        <f>(SUM('Odyssey Raw'!Z$2:Z$25)-'Odyssey Raw'!Z$17)/('Assumptions &amp; Model'!$B$5-1)</f>
        <v>97.22676087</v>
      </c>
      <c r="H54" s="20">
        <f t="shared" si="7"/>
        <v>-0.1882608696</v>
      </c>
    </row>
    <row r="55" ht="15.75" customHeight="1">
      <c r="A55" s="12">
        <v>26.0</v>
      </c>
      <c r="B55" s="20">
        <f>'Apache Raw'!AA$17</f>
        <v>94.8445</v>
      </c>
      <c r="C55" s="20">
        <f>(SUM('Apache Raw'!AA$2:AA$25)-'Apache Raw'!AA$17)/('Assumptions &amp; Model'!$B$5-1)</f>
        <v>95.20232609</v>
      </c>
      <c r="D55" s="20">
        <f t="shared" si="6"/>
        <v>-0.357826087</v>
      </c>
      <c r="E55" s="12">
        <f>IF(B55=MIN('Apache Raw'!AA$2:AA$25),1,0)</f>
        <v>1</v>
      </c>
      <c r="F55" s="20">
        <f>'Odyssey Raw'!AA$17</f>
        <v>97.13</v>
      </c>
      <c r="G55" s="20">
        <f>(SUM('Odyssey Raw'!AA$2:AA$25)-'Odyssey Raw'!AA$17)/('Assumptions &amp; Model'!$B$5-1)</f>
        <v>97.09652174</v>
      </c>
      <c r="H55" s="20">
        <f t="shared" si="7"/>
        <v>0.03347826087</v>
      </c>
    </row>
    <row r="56" ht="15.75" customHeight="1">
      <c r="A56" s="12">
        <v>27.0</v>
      </c>
      <c r="B56" s="20">
        <f>'Apache Raw'!AB$17</f>
        <v>94.818</v>
      </c>
      <c r="C56" s="20">
        <f>(SUM('Apache Raw'!AB$2:AB$25)-'Apache Raw'!AB$17)/('Assumptions &amp; Model'!$B$5-1)</f>
        <v>94.9553913</v>
      </c>
      <c r="D56" s="20">
        <f t="shared" si="6"/>
        <v>-0.1373913043</v>
      </c>
      <c r="E56" s="12">
        <f>IF(B56=MIN('Apache Raw'!AB$2:AB$25),1,0)</f>
        <v>0</v>
      </c>
      <c r="F56" s="20">
        <f>'Odyssey Raw'!AB$17</f>
        <v>97.1565</v>
      </c>
      <c r="G56" s="20">
        <f>(SUM('Odyssey Raw'!AB$2:AB$25)-'Odyssey Raw'!AB$17)/('Assumptions &amp; Model'!$B$5-1)</f>
        <v>96.99476087</v>
      </c>
      <c r="H56" s="20">
        <f t="shared" si="7"/>
        <v>0.1617391304</v>
      </c>
    </row>
    <row r="57" ht="15.75" customHeight="1">
      <c r="A57" s="12">
        <v>28.0</v>
      </c>
      <c r="B57" s="20">
        <f>'Apache Raw'!AC$17</f>
        <v>95.05</v>
      </c>
      <c r="C57" s="20">
        <f>(SUM('Apache Raw'!AC$2:AC$25)-'Apache Raw'!AC$17)/('Assumptions &amp; Model'!$B$5-1)</f>
        <v>95.34347826</v>
      </c>
      <c r="D57" s="20">
        <f t="shared" si="6"/>
        <v>-0.2934782609</v>
      </c>
      <c r="E57" s="12">
        <f>IF(B57=MIN('Apache Raw'!AC$2:AC$25),1,0)</f>
        <v>1</v>
      </c>
      <c r="F57" s="20">
        <f>'Odyssey Raw'!AC$17</f>
        <v>97.046</v>
      </c>
      <c r="G57" s="20">
        <f>(SUM('Odyssey Raw'!AC$2:AC$25)-'Odyssey Raw'!AC$17)/('Assumptions &amp; Model'!$B$5-1)</f>
        <v>97.13034783</v>
      </c>
      <c r="H57" s="20">
        <f t="shared" si="7"/>
        <v>-0.08434782609</v>
      </c>
    </row>
    <row r="58" ht="15.75" customHeight="1">
      <c r="A58" s="12">
        <v>29.0</v>
      </c>
      <c r="B58" s="20">
        <f>'Apache Raw'!AD$17</f>
        <v>94.5405</v>
      </c>
      <c r="C58" s="20">
        <f>(SUM('Apache Raw'!AD$2:AD$25)-'Apache Raw'!AD$17)/('Assumptions &amp; Model'!$B$5-1)</f>
        <v>94.87093478</v>
      </c>
      <c r="D58" s="20">
        <f t="shared" si="6"/>
        <v>-0.3304347826</v>
      </c>
      <c r="E58" s="12">
        <f>IF(B58=MIN('Apache Raw'!AD$2:AD$25),1,0)</f>
        <v>1</v>
      </c>
      <c r="F58" s="20">
        <f>'Odyssey Raw'!AD$17</f>
        <v>97.128</v>
      </c>
      <c r="G58" s="20">
        <f>(SUM('Odyssey Raw'!AD$2:AD$25)-'Odyssey Raw'!AD$17)/('Assumptions &amp; Model'!$B$5-1)</f>
        <v>96.98626087</v>
      </c>
      <c r="H58" s="20">
        <f t="shared" si="7"/>
        <v>0.1417391304</v>
      </c>
    </row>
    <row r="59" ht="15.75" customHeight="1">
      <c r="A59" s="12">
        <v>30.0</v>
      </c>
      <c r="B59" s="20">
        <f>'Apache Raw'!AE$17</f>
        <v>95.235</v>
      </c>
      <c r="C59" s="20">
        <f>(SUM('Apache Raw'!AE$2:AE$25)-'Apache Raw'!AE$17)/('Assumptions &amp; Model'!$B$5-1)</f>
        <v>95.3223913</v>
      </c>
      <c r="D59" s="20">
        <f t="shared" si="6"/>
        <v>-0.08739130435</v>
      </c>
      <c r="E59" s="12">
        <f>IF(B59=MIN('Apache Raw'!AE$2:AE$25),1,0)</f>
        <v>0</v>
      </c>
      <c r="F59" s="20">
        <f>'Odyssey Raw'!AE$17</f>
        <v>97.078</v>
      </c>
      <c r="G59" s="20">
        <f>(SUM('Odyssey Raw'!AE$2:AE$25)-'Odyssey Raw'!AE$17)/('Assumptions &amp; Model'!$B$5-1)</f>
        <v>97.13495652</v>
      </c>
      <c r="H59" s="20">
        <f t="shared" si="7"/>
        <v>-0.05695652174</v>
      </c>
    </row>
    <row r="60" ht="15.75" customHeight="1">
      <c r="A60" s="12">
        <v>31.0</v>
      </c>
      <c r="B60" s="20">
        <f>'Apache Raw'!AF$17</f>
        <v>95.0505</v>
      </c>
      <c r="C60" s="20">
        <f>(SUM('Apache Raw'!AF$2:AF$25)-'Apache Raw'!AF$17)/('Assumptions &amp; Model'!$B$5-1)</f>
        <v>95.19267391</v>
      </c>
      <c r="D60" s="20">
        <f t="shared" si="6"/>
        <v>-0.142173913</v>
      </c>
      <c r="E60" s="12">
        <f>IF(B60=MIN('Apache Raw'!AF$2:AF$25),1,0)</f>
        <v>0</v>
      </c>
      <c r="F60" s="20">
        <f>'Odyssey Raw'!AF$17</f>
        <v>97.064</v>
      </c>
      <c r="G60" s="20">
        <f>(SUM('Odyssey Raw'!AF$2:AF$25)-'Odyssey Raw'!AF$17)/('Assumptions &amp; Model'!$B$5-1)</f>
        <v>97.0513913</v>
      </c>
      <c r="H60" s="20">
        <f t="shared" si="7"/>
        <v>0.01260869565</v>
      </c>
    </row>
    <row r="61" ht="15.75" customHeight="1">
      <c r="A61" s="12">
        <v>32.0</v>
      </c>
      <c r="B61" s="20">
        <f>'Apache Raw'!AG$17</f>
        <v>94.7235</v>
      </c>
      <c r="C61" s="20">
        <f>(SUM('Apache Raw'!AG$2:AG$25)-'Apache Raw'!AG$17)/('Assumptions &amp; Model'!$B$5-1)</f>
        <v>94.96697826</v>
      </c>
      <c r="D61" s="20">
        <f t="shared" si="6"/>
        <v>-0.2434782609</v>
      </c>
      <c r="E61" s="12">
        <f>IF(B61=MIN('Apache Raw'!AG$2:AG$25),1,0)</f>
        <v>1</v>
      </c>
      <c r="F61" s="20">
        <f>'Odyssey Raw'!AG$17</f>
        <v>97.0555</v>
      </c>
      <c r="G61" s="20">
        <f>(SUM('Odyssey Raw'!AG$2:AG$25)-'Odyssey Raw'!AG$17)/('Assumptions &amp; Model'!$B$5-1)</f>
        <v>97.02332609</v>
      </c>
      <c r="H61" s="20">
        <f t="shared" si="7"/>
        <v>0.03217391304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8:H28"/>
  </mergeCells>
  <conditionalFormatting sqref="E2:E25">
    <cfRule type="cellIs" dxfId="5" priority="1" operator="lessThanOrEqual">
      <formula>-3</formula>
    </cfRule>
  </conditionalFormatting>
  <conditionalFormatting sqref="I2:I25">
    <cfRule type="cellIs" dxfId="5" priority="2" operator="lessThanOrEqual">
      <formula>-3</formula>
    </cfRule>
  </conditionalFormatting>
  <conditionalFormatting sqref="L2:L25">
    <cfRule type="expression" dxfId="6" priority="3">
      <formula>LEFT(L2,11)="Investigate"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6.0"/>
  </cols>
  <sheetData>
    <row r="1" ht="27.75" customHeight="1">
      <c r="A1" s="27" t="s">
        <v>115</v>
      </c>
      <c r="B1" s="27" t="s">
        <v>117</v>
      </c>
      <c r="C1" s="27" t="s">
        <v>119</v>
      </c>
      <c r="E1" s="27" t="s">
        <v>23</v>
      </c>
      <c r="F1" s="27" t="s">
        <v>150</v>
      </c>
      <c r="G1" s="27" t="s">
        <v>151</v>
      </c>
      <c r="I1" s="27" t="s">
        <v>152</v>
      </c>
      <c r="J1" s="27" t="s">
        <v>153</v>
      </c>
      <c r="L1" s="27" t="s">
        <v>120</v>
      </c>
      <c r="M1" s="27" t="s">
        <v>154</v>
      </c>
      <c r="N1" s="27" t="s">
        <v>155</v>
      </c>
      <c r="P1" s="27" t="s">
        <v>121</v>
      </c>
      <c r="Q1" s="27" t="s">
        <v>154</v>
      </c>
      <c r="R1" s="27" t="s">
        <v>155</v>
      </c>
      <c r="T1" s="27" t="s">
        <v>115</v>
      </c>
      <c r="U1" s="27" t="s">
        <v>156</v>
      </c>
      <c r="V1" s="27" t="s">
        <v>122</v>
      </c>
      <c r="X1" s="27" t="s">
        <v>115</v>
      </c>
      <c r="Y1" s="27" t="s">
        <v>157</v>
      </c>
      <c r="Z1" s="27" t="s">
        <v>123</v>
      </c>
    </row>
    <row r="2">
      <c r="A2" s="28">
        <v>1.0</v>
      </c>
      <c r="B2" s="20">
        <f>'Daily Analysis'!D2</f>
        <v>95.44941667</v>
      </c>
      <c r="C2" s="20">
        <f>'Daily Analysis'!F2</f>
        <v>97.15625</v>
      </c>
      <c r="E2" s="28" t="s">
        <v>56</v>
      </c>
      <c r="F2" s="29">
        <f>'Operator Analysis'!E2</f>
        <v>1.062219097</v>
      </c>
      <c r="G2" s="29">
        <f>'Operator Analysis'!I2</f>
        <v>0.6324749807</v>
      </c>
      <c r="I2" s="28" t="s">
        <v>158</v>
      </c>
      <c r="J2" s="15">
        <f>'Assumptions &amp; Model'!B48</f>
        <v>1250000</v>
      </c>
      <c r="L2" s="28" t="s">
        <v>138</v>
      </c>
      <c r="M2" s="30">
        <f>'Daily Analysis'!O2</f>
        <v>95.01733333</v>
      </c>
      <c r="N2" s="30">
        <f>'Daily Analysis'!P2</f>
        <v>97.02242361</v>
      </c>
      <c r="P2" s="28" t="s">
        <v>138</v>
      </c>
      <c r="Q2" s="30">
        <f>'Daily Analysis'!T2</f>
        <v>95.25148611</v>
      </c>
      <c r="R2" s="30">
        <f>'Daily Analysis'!U2</f>
        <v>97.07975</v>
      </c>
      <c r="T2" s="28">
        <v>1.0</v>
      </c>
      <c r="U2" s="30">
        <f>'Daily Analysis'!E2</f>
        <v>95.46073913</v>
      </c>
      <c r="V2" s="31">
        <f>'Daily Analysis'!I2</f>
        <v>95.43989617</v>
      </c>
      <c r="X2" s="28">
        <v>1.0</v>
      </c>
      <c r="Y2" s="30">
        <f>'Daily Analysis'!F2</f>
        <v>97.15625</v>
      </c>
      <c r="Z2" s="31">
        <f>'Daily Analysis'!J2</f>
        <v>97.14265349</v>
      </c>
    </row>
    <row r="3">
      <c r="A3" s="28">
        <v>2.0</v>
      </c>
      <c r="B3" s="20">
        <f>'Daily Analysis'!D3</f>
        <v>95.013</v>
      </c>
      <c r="C3" s="20">
        <f>'Daily Analysis'!F3</f>
        <v>96.97258333</v>
      </c>
      <c r="E3" s="28" t="s">
        <v>58</v>
      </c>
      <c r="F3" s="29">
        <f>'Operator Analysis'!E3</f>
        <v>0.1564898811</v>
      </c>
      <c r="G3" s="29">
        <f>'Operator Analysis'!I3</f>
        <v>0.8226496901</v>
      </c>
      <c r="I3" s="28" t="s">
        <v>159</v>
      </c>
      <c r="J3" s="15">
        <f>'Assumptions &amp; Model'!B47</f>
        <v>9314545.049</v>
      </c>
      <c r="L3" s="28" t="s">
        <v>143</v>
      </c>
      <c r="M3" s="30">
        <f>'Daily Analysis'!O3</f>
        <v>95.24666667</v>
      </c>
      <c r="N3" s="30">
        <f>'Daily Analysis'!P3</f>
        <v>97.08961458</v>
      </c>
      <c r="P3" s="28" t="s">
        <v>143</v>
      </c>
      <c r="Q3" s="30">
        <f>'Daily Analysis'!T3</f>
        <v>95.23584091</v>
      </c>
      <c r="R3" s="30">
        <f>'Daily Analysis'!U3</f>
        <v>97.09236364</v>
      </c>
      <c r="T3" s="28">
        <v>2.0</v>
      </c>
      <c r="U3" s="30">
        <f>'Daily Analysis'!E3</f>
        <v>95.0278913</v>
      </c>
      <c r="V3" s="31">
        <f>'Daily Analysis'!I3</f>
        <v>95.03583774</v>
      </c>
      <c r="X3" s="28">
        <v>2.0</v>
      </c>
      <c r="Y3" s="30">
        <f>'Daily Analysis'!F3</f>
        <v>96.97258333</v>
      </c>
      <c r="Z3" s="31">
        <f>'Daily Analysis'!J3</f>
        <v>97.01147432</v>
      </c>
    </row>
    <row r="4">
      <c r="A4" s="28">
        <v>3.0</v>
      </c>
      <c r="B4" s="20">
        <f>'Daily Analysis'!D4</f>
        <v>94.92466667</v>
      </c>
      <c r="C4" s="20">
        <f>'Daily Analysis'!F4</f>
        <v>96.97408333</v>
      </c>
      <c r="E4" s="28" t="s">
        <v>65</v>
      </c>
      <c r="F4" s="29">
        <f>'Operator Analysis'!E4</f>
        <v>0.603316294</v>
      </c>
      <c r="G4" s="29">
        <f>'Operator Analysis'!I4</f>
        <v>1.704368798</v>
      </c>
      <c r="L4" s="28" t="s">
        <v>145</v>
      </c>
      <c r="M4" s="30">
        <f>'Daily Analysis'!O4</f>
        <v>95.53841667</v>
      </c>
      <c r="N4" s="30">
        <f>'Daily Analysis'!P4</f>
        <v>97.18255556</v>
      </c>
      <c r="P4" s="28" t="s">
        <v>145</v>
      </c>
      <c r="Q4" s="30">
        <f>'Daily Analysis'!T4</f>
        <v>95.33669444</v>
      </c>
      <c r="R4" s="30">
        <f>'Daily Analysis'!U4</f>
        <v>97.13374074</v>
      </c>
      <c r="T4" s="28">
        <v>3.0</v>
      </c>
      <c r="U4" s="30">
        <f>'Daily Analysis'!E4</f>
        <v>94.93636957</v>
      </c>
      <c r="V4" s="31">
        <f>'Daily Analysis'!I4</f>
        <v>94.95048845</v>
      </c>
      <c r="X4" s="28">
        <v>3.0</v>
      </c>
      <c r="Y4" s="30">
        <f>'Daily Analysis'!F4</f>
        <v>96.97408333</v>
      </c>
      <c r="Z4" s="31">
        <f>'Daily Analysis'!J4</f>
        <v>96.99346264</v>
      </c>
    </row>
    <row r="5">
      <c r="A5" s="28">
        <v>4.0</v>
      </c>
      <c r="B5" s="20">
        <f>'Daily Analysis'!D5</f>
        <v>95.188</v>
      </c>
      <c r="C5" s="20">
        <f>'Daily Analysis'!F5</f>
        <v>97.03416667</v>
      </c>
      <c r="E5" s="28" t="s">
        <v>73</v>
      </c>
      <c r="F5" s="29">
        <f>'Operator Analysis'!E5</f>
        <v>0.1746044654</v>
      </c>
      <c r="G5" s="29">
        <f>'Operator Analysis'!I5</f>
        <v>-0.6295935457</v>
      </c>
      <c r="T5" s="28">
        <v>4.0</v>
      </c>
      <c r="U5" s="30">
        <f>'Daily Analysis'!E5</f>
        <v>95.19854348</v>
      </c>
      <c r="V5" s="31">
        <f>'Daily Analysis'!I5</f>
        <v>95.19994092</v>
      </c>
      <c r="X5" s="28">
        <v>4.0</v>
      </c>
      <c r="Y5" s="30">
        <f>'Daily Analysis'!F5</f>
        <v>97.03416667</v>
      </c>
      <c r="Z5" s="31">
        <f>'Daily Analysis'!J5</f>
        <v>97.05791907</v>
      </c>
    </row>
    <row r="6">
      <c r="A6" s="28">
        <v>5.0</v>
      </c>
      <c r="B6" s="20">
        <f>'Daily Analysis'!D6</f>
        <v>95.6315</v>
      </c>
      <c r="C6" s="20">
        <f>'Daily Analysis'!F6</f>
        <v>97.18533333</v>
      </c>
      <c r="E6" s="28" t="s">
        <v>78</v>
      </c>
      <c r="F6" s="29">
        <f>'Operator Analysis'!E6</f>
        <v>0.3255593347</v>
      </c>
      <c r="G6" s="29">
        <f>'Operator Analysis'!I6</f>
        <v>-1.390292383</v>
      </c>
      <c r="T6" s="28">
        <v>5.0</v>
      </c>
      <c r="U6" s="30">
        <f>'Daily Analysis'!E6</f>
        <v>95.64215217</v>
      </c>
      <c r="V6" s="31">
        <f>'Daily Analysis'!I6</f>
        <v>95.63763755</v>
      </c>
      <c r="X6" s="28">
        <v>5.0</v>
      </c>
      <c r="Y6" s="30">
        <f>'Daily Analysis'!F6</f>
        <v>97.18533333</v>
      </c>
      <c r="Z6" s="31">
        <f>'Daily Analysis'!J6</f>
        <v>97.18866103</v>
      </c>
    </row>
    <row r="7">
      <c r="A7" s="28">
        <v>6.0</v>
      </c>
      <c r="B7" s="20">
        <f>'Daily Analysis'!D7</f>
        <v>95.58308333</v>
      </c>
      <c r="C7" s="20">
        <f>'Daily Analysis'!F7</f>
        <v>97.19691667</v>
      </c>
      <c r="E7" s="28" t="s">
        <v>83</v>
      </c>
      <c r="F7" s="29">
        <f>'Operator Analysis'!E7</f>
        <v>0.7663475528</v>
      </c>
      <c r="G7" s="29">
        <f>'Operator Analysis'!I7</f>
        <v>1.548771308</v>
      </c>
      <c r="T7" s="28">
        <v>6.0</v>
      </c>
      <c r="U7" s="30">
        <f>'Daily Analysis'!E7</f>
        <v>95.59676087</v>
      </c>
      <c r="V7" s="31">
        <f>'Daily Analysis'!I7</f>
        <v>95.57590195</v>
      </c>
      <c r="X7" s="28">
        <v>6.0</v>
      </c>
      <c r="Y7" s="30">
        <f>'Daily Analysis'!F7</f>
        <v>97.19691667</v>
      </c>
      <c r="Z7" s="31">
        <f>'Daily Analysis'!J7</f>
        <v>97.20186623</v>
      </c>
    </row>
    <row r="8">
      <c r="A8" s="28">
        <v>7.0</v>
      </c>
      <c r="B8" s="20">
        <f>'Daily Analysis'!D8</f>
        <v>95.01666667</v>
      </c>
      <c r="C8" s="20">
        <f>'Daily Analysis'!F8</f>
        <v>97.05458333</v>
      </c>
      <c r="E8" s="28" t="s">
        <v>88</v>
      </c>
      <c r="F8" s="29">
        <f>'Operator Analysis'!E8</f>
        <v>-0.1997636103</v>
      </c>
      <c r="G8" s="29">
        <f>'Operator Analysis'!I8</f>
        <v>0.1138166822</v>
      </c>
      <c r="T8" s="28">
        <v>7.0</v>
      </c>
      <c r="U8" s="30">
        <f>'Daily Analysis'!E8</f>
        <v>95.02630435</v>
      </c>
      <c r="V8" s="31">
        <f>'Daily Analysis'!I8</f>
        <v>95.02950599</v>
      </c>
      <c r="X8" s="28">
        <v>7.0</v>
      </c>
      <c r="Y8" s="30">
        <f>'Daily Analysis'!F8</f>
        <v>97.05458333</v>
      </c>
      <c r="Z8" s="31">
        <f>'Daily Analysis'!J8</f>
        <v>97.01620767</v>
      </c>
    </row>
    <row r="9">
      <c r="A9" s="28">
        <v>8.0</v>
      </c>
      <c r="B9" s="20">
        <f>'Daily Analysis'!D9</f>
        <v>95.75616667</v>
      </c>
      <c r="C9" s="20">
        <f>'Daily Analysis'!F9</f>
        <v>97.20991667</v>
      </c>
      <c r="E9" s="28" t="s">
        <v>95</v>
      </c>
      <c r="F9" s="29">
        <f>'Operator Analysis'!E9</f>
        <v>0.1444134916</v>
      </c>
      <c r="G9" s="29">
        <f>'Operator Analysis'!I9</f>
        <v>-1.494024043</v>
      </c>
      <c r="T9" s="28">
        <v>8.0</v>
      </c>
      <c r="U9" s="30">
        <f>'Daily Analysis'!E9</f>
        <v>95.76352174</v>
      </c>
      <c r="V9" s="31">
        <f>'Daily Analysis'!I9</f>
        <v>95.74739148</v>
      </c>
      <c r="X9" s="28">
        <v>8.0</v>
      </c>
      <c r="Y9" s="30">
        <f>'Daily Analysis'!F9</f>
        <v>97.20991667</v>
      </c>
      <c r="Z9" s="31">
        <f>'Daily Analysis'!J9</f>
        <v>97.22082545</v>
      </c>
    </row>
    <row r="10">
      <c r="A10" s="28">
        <v>9.0</v>
      </c>
      <c r="B10" s="20">
        <f>'Daily Analysis'!D10</f>
        <v>95.22216667</v>
      </c>
      <c r="C10" s="20">
        <f>'Daily Analysis'!F10</f>
        <v>97.04575</v>
      </c>
      <c r="E10" s="28" t="s">
        <v>99</v>
      </c>
      <c r="F10" s="29">
        <f>'Operator Analysis'!E10</f>
        <v>0.2712155817</v>
      </c>
      <c r="G10" s="29">
        <f>'Operator Analysis'!I10</f>
        <v>0.528743321</v>
      </c>
      <c r="T10" s="28">
        <v>9.0</v>
      </c>
      <c r="U10" s="30">
        <f>'Daily Analysis'!E10</f>
        <v>95.23082609</v>
      </c>
      <c r="V10" s="31">
        <f>'Daily Analysis'!I10</f>
        <v>95.2459798</v>
      </c>
      <c r="X10" s="28">
        <v>9.0</v>
      </c>
      <c r="Y10" s="30">
        <f>'Daily Analysis'!F10</f>
        <v>97.04575</v>
      </c>
      <c r="Z10" s="31">
        <f>'Daily Analysis'!J10</f>
        <v>97.08005916</v>
      </c>
    </row>
    <row r="11">
      <c r="A11" s="28">
        <v>10.0</v>
      </c>
      <c r="B11" s="20">
        <f>'Daily Analysis'!D11</f>
        <v>94.96708333</v>
      </c>
      <c r="C11" s="20">
        <f>'Daily Analysis'!F11</f>
        <v>97.0135</v>
      </c>
      <c r="E11" s="28" t="s">
        <v>105</v>
      </c>
      <c r="F11" s="29">
        <f>'Operator Analysis'!E11</f>
        <v>-0.01861776721</v>
      </c>
      <c r="G11" s="29">
        <f>'Operator Analysis'!I11</f>
        <v>-1.269272114</v>
      </c>
      <c r="T11" s="28">
        <v>10.0</v>
      </c>
      <c r="U11" s="30">
        <f>'Daily Analysis'!E11</f>
        <v>94.97967391</v>
      </c>
      <c r="V11" s="31">
        <f>'Daily Analysis'!I11</f>
        <v>94.95128023</v>
      </c>
      <c r="X11" s="28">
        <v>10.0</v>
      </c>
      <c r="Y11" s="30">
        <f>'Daily Analysis'!F11</f>
        <v>97.0135</v>
      </c>
      <c r="Z11" s="31">
        <f>'Daily Analysis'!J11</f>
        <v>97.00275446</v>
      </c>
    </row>
    <row r="12">
      <c r="A12" s="28">
        <v>11.0</v>
      </c>
      <c r="B12" s="20">
        <f>'Daily Analysis'!D12</f>
        <v>95.456</v>
      </c>
      <c r="C12" s="20">
        <f>'Daily Analysis'!F12</f>
        <v>97.1735</v>
      </c>
      <c r="E12" s="28" t="s">
        <v>110</v>
      </c>
      <c r="F12" s="29">
        <f>'Operator Analysis'!E12</f>
        <v>0.2229100236</v>
      </c>
      <c r="G12" s="29">
        <f>'Operator Analysis'!I12</f>
        <v>-0.6987479855</v>
      </c>
      <c r="T12" s="28">
        <v>11.0</v>
      </c>
      <c r="U12" s="30">
        <f>'Daily Analysis'!E12</f>
        <v>95.47295652</v>
      </c>
      <c r="V12" s="31">
        <f>'Daily Analysis'!I12</f>
        <v>95.49661993</v>
      </c>
      <c r="X12" s="28">
        <v>11.0</v>
      </c>
      <c r="Y12" s="30">
        <f>'Daily Analysis'!F12</f>
        <v>97.1735</v>
      </c>
      <c r="Z12" s="31">
        <f>'Daily Analysis'!J12</f>
        <v>97.15845331</v>
      </c>
    </row>
    <row r="13">
      <c r="A13" s="28">
        <v>12.0</v>
      </c>
      <c r="B13" s="20">
        <f>'Daily Analysis'!D13</f>
        <v>95.07083333</v>
      </c>
      <c r="C13" s="20">
        <f>'Daily Analysis'!F13</f>
        <v>97.04475</v>
      </c>
      <c r="E13" s="28" t="s">
        <v>113</v>
      </c>
      <c r="F13" s="29">
        <f>'Operator Analysis'!E13</f>
        <v>-0.03069415674</v>
      </c>
      <c r="G13" s="29">
        <f>'Operator Analysis'!I13</f>
        <v>-1.580467093</v>
      </c>
      <c r="T13" s="28">
        <v>12.0</v>
      </c>
      <c r="U13" s="30">
        <f>'Daily Analysis'!E13</f>
        <v>95.07467391</v>
      </c>
      <c r="V13" s="31">
        <f>'Daily Analysis'!I13</f>
        <v>95.03570633</v>
      </c>
      <c r="X13" s="28">
        <v>12.0</v>
      </c>
      <c r="Y13" s="30">
        <f>'Daily Analysis'!F13</f>
        <v>97.04475</v>
      </c>
      <c r="Z13" s="31">
        <f>'Daily Analysis'!J13</f>
        <v>97.02749632</v>
      </c>
    </row>
    <row r="14">
      <c r="A14" s="28">
        <v>13.0</v>
      </c>
      <c r="B14" s="20">
        <f>'Daily Analysis'!D14</f>
        <v>95.37358333</v>
      </c>
      <c r="C14" s="20">
        <f>'Daily Analysis'!F14</f>
        <v>97.14016667</v>
      </c>
      <c r="E14" s="28" t="s">
        <v>114</v>
      </c>
      <c r="F14" s="29">
        <f>'Operator Analysis'!E14</f>
        <v>0.3738648928</v>
      </c>
      <c r="G14" s="29">
        <f>'Operator Analysis'!I14</f>
        <v>0.2867027817</v>
      </c>
      <c r="T14" s="28">
        <v>13.0</v>
      </c>
      <c r="U14" s="30">
        <f>'Daily Analysis'!E14</f>
        <v>95.38476087</v>
      </c>
      <c r="V14" s="31">
        <f>'Daily Analysis'!I14</f>
        <v>95.42433086</v>
      </c>
      <c r="X14" s="28">
        <v>13.0</v>
      </c>
      <c r="Y14" s="30">
        <f>'Daily Analysis'!F14</f>
        <v>97.14016667</v>
      </c>
      <c r="Z14" s="31">
        <f>'Daily Analysis'!J14</f>
        <v>97.16197679</v>
      </c>
    </row>
    <row r="15">
      <c r="A15" s="28">
        <v>14.0</v>
      </c>
      <c r="B15" s="20">
        <f>'Daily Analysis'!D15</f>
        <v>95.14108333</v>
      </c>
      <c r="C15" s="20">
        <f>'Daily Analysis'!F15</f>
        <v>97.01425</v>
      </c>
      <c r="E15" s="28" t="s">
        <v>116</v>
      </c>
      <c r="F15" s="29">
        <f>'Operator Analysis'!E15</f>
        <v>-0.2420309737</v>
      </c>
      <c r="G15" s="29">
        <f>'Operator Analysis'!I15</f>
        <v>0.4423002712</v>
      </c>
      <c r="T15" s="28">
        <v>14.0</v>
      </c>
      <c r="U15" s="30">
        <f>'Daily Analysis'!E15</f>
        <v>95.14584783</v>
      </c>
      <c r="V15" s="31">
        <f>'Daily Analysis'!I15</f>
        <v>95.15574925</v>
      </c>
      <c r="X15" s="28">
        <v>14.0</v>
      </c>
      <c r="Y15" s="30">
        <f>'Daily Analysis'!F15</f>
        <v>97.01425</v>
      </c>
      <c r="Z15" s="31">
        <f>'Daily Analysis'!J15</f>
        <v>97.04867456</v>
      </c>
    </row>
    <row r="16">
      <c r="A16" s="28">
        <v>15.0</v>
      </c>
      <c r="B16" s="20">
        <f>'Daily Analysis'!D16</f>
        <v>95.61791667</v>
      </c>
      <c r="C16" s="20">
        <f>'Daily Analysis'!F16</f>
        <v>97.22916667</v>
      </c>
      <c r="E16" s="28" t="s">
        <v>126</v>
      </c>
      <c r="F16" s="29">
        <f>'Operator Analysis'!E16</f>
        <v>0.1746044654</v>
      </c>
      <c r="G16" s="29">
        <f>'Operator Analysis'!I16</f>
        <v>-0.7506138153</v>
      </c>
      <c r="T16" s="28">
        <v>15.0</v>
      </c>
      <c r="U16" s="30">
        <f>'Daily Analysis'!E16</f>
        <v>95.62902174</v>
      </c>
      <c r="V16" s="31">
        <f>'Daily Analysis'!I16</f>
        <v>95.60202073</v>
      </c>
      <c r="X16" s="28">
        <v>15.0</v>
      </c>
      <c r="Y16" s="30">
        <f>'Daily Analysis'!F16</f>
        <v>97.22916667</v>
      </c>
      <c r="Z16" s="31">
        <f>'Daily Analysis'!J16</f>
        <v>97.19222466</v>
      </c>
    </row>
    <row r="17">
      <c r="A17" s="28">
        <v>16.0</v>
      </c>
      <c r="B17" s="20">
        <f>'Daily Analysis'!D17</f>
        <v>95.10633333</v>
      </c>
      <c r="C17" s="20">
        <f>'Daily Analysis'!F17</f>
        <v>97.03116667</v>
      </c>
      <c r="E17" s="28" t="s">
        <v>139</v>
      </c>
      <c r="F17" s="29">
        <f>'Operator Analysis'!E17</f>
        <v>-4.414423559</v>
      </c>
      <c r="G17" s="29">
        <f>'Operator Analysis'!I17</f>
        <v>0.2521255618</v>
      </c>
      <c r="T17" s="28">
        <v>16.0</v>
      </c>
      <c r="U17" s="30">
        <f>'Daily Analysis'!E17</f>
        <v>95.11321739</v>
      </c>
      <c r="V17" s="31">
        <f>'Daily Analysis'!I17</f>
        <v>95.10944755</v>
      </c>
      <c r="X17" s="28">
        <v>16.0</v>
      </c>
      <c r="Y17" s="30">
        <f>'Daily Analysis'!F17</f>
        <v>97.03116667</v>
      </c>
      <c r="Z17" s="31">
        <f>'Daily Analysis'!J17</f>
        <v>97.05857846</v>
      </c>
    </row>
    <row r="18">
      <c r="A18" s="28">
        <v>17.0</v>
      </c>
      <c r="B18" s="20">
        <f>'Daily Analysis'!D18</f>
        <v>95.43158333</v>
      </c>
      <c r="C18" s="20">
        <f>'Daily Analysis'!F18</f>
        <v>97.14183333</v>
      </c>
      <c r="E18" s="28" t="s">
        <v>140</v>
      </c>
      <c r="F18" s="29">
        <f>'Operator Analysis'!E18</f>
        <v>0.3497121137</v>
      </c>
      <c r="G18" s="29">
        <f>'Operator Analysis'!I18</f>
        <v>0.04466224237</v>
      </c>
      <c r="T18" s="28">
        <v>17.0</v>
      </c>
      <c r="U18" s="30">
        <f>'Daily Analysis'!E18</f>
        <v>95.44580435</v>
      </c>
      <c r="V18" s="31">
        <f>'Daily Analysis'!I18</f>
        <v>95.44438154</v>
      </c>
      <c r="X18" s="28">
        <v>17.0</v>
      </c>
      <c r="Y18" s="30">
        <f>'Daily Analysis'!F18</f>
        <v>97.14183333</v>
      </c>
      <c r="Z18" s="31">
        <f>'Daily Analysis'!J18</f>
        <v>97.15138051</v>
      </c>
    </row>
    <row r="19">
      <c r="A19" s="28">
        <v>18.0</v>
      </c>
      <c r="B19" s="20">
        <f>'Daily Analysis'!D19</f>
        <v>95.49658333</v>
      </c>
      <c r="C19" s="20">
        <f>'Daily Analysis'!F19</f>
        <v>97.16291667</v>
      </c>
      <c r="E19" s="28" t="s">
        <v>141</v>
      </c>
      <c r="F19" s="29">
        <f>'Operator Analysis'!E19</f>
        <v>0.08403154387</v>
      </c>
      <c r="G19" s="29">
        <f>'Operator Analysis'!I19</f>
        <v>0.182971122</v>
      </c>
      <c r="T19" s="28">
        <v>18.0</v>
      </c>
      <c r="U19" s="30">
        <f>'Daily Analysis'!E19</f>
        <v>95.49819565</v>
      </c>
      <c r="V19" s="31">
        <f>'Daily Analysis'!I19</f>
        <v>95.52788445</v>
      </c>
      <c r="X19" s="28">
        <v>18.0</v>
      </c>
      <c r="Y19" s="30">
        <f>'Daily Analysis'!F19</f>
        <v>97.16291667</v>
      </c>
      <c r="Z19" s="31">
        <f>'Daily Analysis'!J19</f>
        <v>97.18285256</v>
      </c>
    </row>
    <row r="20">
      <c r="A20" s="28">
        <v>19.0</v>
      </c>
      <c r="B20" s="20">
        <f>'Daily Analysis'!D20</f>
        <v>94.93558333</v>
      </c>
      <c r="C20" s="20">
        <f>'Daily Analysis'!F20</f>
        <v>97.04491667</v>
      </c>
      <c r="E20" s="28" t="s">
        <v>142</v>
      </c>
      <c r="F20" s="29">
        <f>'Operator Analysis'!E20</f>
        <v>-0.2661837528</v>
      </c>
      <c r="G20" s="29">
        <f>'Operator Analysis'!I20</f>
        <v>-0.6468821556</v>
      </c>
      <c r="T20" s="28">
        <v>19.0</v>
      </c>
      <c r="U20" s="30">
        <f>'Daily Analysis'!E20</f>
        <v>94.93643478</v>
      </c>
      <c r="V20" s="31">
        <f>'Daily Analysis'!I20</f>
        <v>94.96064603</v>
      </c>
      <c r="X20" s="28">
        <v>19.0</v>
      </c>
      <c r="Y20" s="30">
        <f>'Daily Analysis'!F20</f>
        <v>97.04491667</v>
      </c>
      <c r="Z20" s="31">
        <f>'Daily Analysis'!J20</f>
        <v>96.99849846</v>
      </c>
    </row>
    <row r="21" ht="15.75" customHeight="1">
      <c r="A21" s="28">
        <v>20.0</v>
      </c>
      <c r="B21" s="20">
        <f>'Daily Analysis'!D21</f>
        <v>95.46825</v>
      </c>
      <c r="C21" s="20">
        <f>'Daily Analysis'!F21</f>
        <v>97.1825</v>
      </c>
      <c r="E21" s="28" t="s">
        <v>144</v>
      </c>
      <c r="F21" s="29">
        <f>'Operator Analysis'!E21</f>
        <v>0.1504516863</v>
      </c>
      <c r="G21" s="29">
        <f>'Operator Analysis'!I21</f>
        <v>0.07923946227</v>
      </c>
      <c r="T21" s="28">
        <v>20.0</v>
      </c>
      <c r="U21" s="30">
        <f>'Daily Analysis'!E21</f>
        <v>95.48004348</v>
      </c>
      <c r="V21" s="31">
        <f>'Daily Analysis'!I21</f>
        <v>95.49424625</v>
      </c>
      <c r="X21" s="28">
        <v>20.0</v>
      </c>
      <c r="Y21" s="30">
        <f>'Daily Analysis'!F21</f>
        <v>97.1825</v>
      </c>
      <c r="Z21" s="31">
        <f>'Daily Analysis'!J21</f>
        <v>97.18328977</v>
      </c>
    </row>
    <row r="22" ht="15.75" customHeight="1">
      <c r="A22" s="28">
        <v>21.0</v>
      </c>
      <c r="B22" s="20">
        <f>'Daily Analysis'!D22</f>
        <v>95.15608333</v>
      </c>
      <c r="C22" s="20">
        <f>'Daily Analysis'!F22</f>
        <v>97.07675</v>
      </c>
      <c r="E22" s="28" t="s">
        <v>146</v>
      </c>
      <c r="F22" s="29">
        <f>'Operator Analysis'!E22</f>
        <v>0.6999274104</v>
      </c>
      <c r="G22" s="29">
        <f>'Operator Analysis'!I22</f>
        <v>-1.079097404</v>
      </c>
      <c r="T22" s="28">
        <v>21.0</v>
      </c>
      <c r="U22" s="30">
        <f>'Daily Analysis'!E22</f>
        <v>95.17215217</v>
      </c>
      <c r="V22" s="31">
        <f>'Daily Analysis'!I22</f>
        <v>95.1880692</v>
      </c>
      <c r="X22" s="28">
        <v>21.0</v>
      </c>
      <c r="Y22" s="30">
        <f>'Daily Analysis'!F22</f>
        <v>97.07675</v>
      </c>
      <c r="Z22" s="31">
        <f>'Daily Analysis'!J22</f>
        <v>97.07667758</v>
      </c>
    </row>
    <row r="23" ht="15.75" customHeight="1">
      <c r="A23" s="28">
        <v>22.0</v>
      </c>
      <c r="B23" s="20">
        <f>'Daily Analysis'!D23</f>
        <v>95.37466667</v>
      </c>
      <c r="C23" s="20">
        <f>'Daily Analysis'!F23</f>
        <v>97.15283333</v>
      </c>
      <c r="E23" s="28" t="s">
        <v>147</v>
      </c>
      <c r="F23" s="29">
        <f>'Operator Analysis'!E23</f>
        <v>-0.2239163894</v>
      </c>
      <c r="G23" s="29">
        <f>'Operator Analysis'!I23</f>
        <v>0.3212800016</v>
      </c>
      <c r="T23" s="28">
        <v>22.0</v>
      </c>
      <c r="U23" s="30">
        <f>'Daily Analysis'!E23</f>
        <v>95.39343478</v>
      </c>
      <c r="V23" s="31">
        <f>'Daily Analysis'!I23</f>
        <v>95.37130069</v>
      </c>
      <c r="X23" s="28">
        <v>22.0</v>
      </c>
      <c r="Y23" s="30">
        <f>'Daily Analysis'!F23</f>
        <v>97.15283333</v>
      </c>
      <c r="Z23" s="31">
        <f>'Daily Analysis'!J23</f>
        <v>97.14561218</v>
      </c>
    </row>
    <row r="24" ht="15.75" customHeight="1">
      <c r="A24" s="28">
        <v>23.0</v>
      </c>
      <c r="B24" s="20">
        <f>'Daily Analysis'!D24</f>
        <v>95.67033333</v>
      </c>
      <c r="C24" s="20">
        <f>'Daily Analysis'!F24</f>
        <v>97.19666667</v>
      </c>
      <c r="E24" s="28" t="s">
        <v>148</v>
      </c>
      <c r="F24" s="29">
        <f>'Operator Analysis'!E24</f>
        <v>0.1202607125</v>
      </c>
      <c r="G24" s="29">
        <f>'Operator Analysis'!I24</f>
        <v>0.511454711</v>
      </c>
      <c r="T24" s="28">
        <v>23.0</v>
      </c>
      <c r="U24" s="30">
        <f>'Daily Analysis'!E24</f>
        <v>95.67721739</v>
      </c>
      <c r="V24" s="31">
        <f>'Daily Analysis'!I24</f>
        <v>95.68288465</v>
      </c>
      <c r="X24" s="28">
        <v>23.0</v>
      </c>
      <c r="Y24" s="30">
        <f>'Daily Analysis'!F24</f>
        <v>97.19666667</v>
      </c>
      <c r="Z24" s="31">
        <f>'Daily Analysis'!J24</f>
        <v>97.20150931</v>
      </c>
    </row>
    <row r="25" ht="15.75" customHeight="1">
      <c r="A25" s="28">
        <v>24.0</v>
      </c>
      <c r="B25" s="20">
        <f>'Daily Analysis'!D25</f>
        <v>95.20258333</v>
      </c>
      <c r="C25" s="20">
        <f>'Daily Analysis'!F25</f>
        <v>97.09566667</v>
      </c>
      <c r="E25" s="28" t="s">
        <v>149</v>
      </c>
      <c r="F25" s="29">
        <f>'Operator Analysis'!E25</f>
        <v>-0.2842983371</v>
      </c>
      <c r="G25" s="29">
        <f>'Operator Analysis'!I25</f>
        <v>2.067429606</v>
      </c>
      <c r="T25" s="28">
        <v>24.0</v>
      </c>
      <c r="U25" s="30">
        <f>'Daily Analysis'!E25</f>
        <v>95.20984783</v>
      </c>
      <c r="V25" s="31">
        <f>'Daily Analysis'!I25</f>
        <v>95.20759258</v>
      </c>
      <c r="X25" s="28">
        <v>24.0</v>
      </c>
      <c r="Y25" s="30">
        <f>'Daily Analysis'!F25</f>
        <v>97.09566667</v>
      </c>
      <c r="Z25" s="31">
        <f>'Daily Analysis'!J25</f>
        <v>97.07745739</v>
      </c>
    </row>
    <row r="26" ht="15.75" customHeight="1">
      <c r="A26" s="28">
        <v>25.0</v>
      </c>
      <c r="B26" s="20">
        <f>'Daily Analysis'!D26</f>
        <v>95.60133333</v>
      </c>
      <c r="C26" s="20">
        <f>'Daily Analysis'!F26</f>
        <v>97.21891667</v>
      </c>
      <c r="T26" s="28">
        <v>25.0</v>
      </c>
      <c r="U26" s="30">
        <f>'Daily Analysis'!E26</f>
        <v>95.60963043</v>
      </c>
      <c r="V26" s="31">
        <f>'Daily Analysis'!I26</f>
        <v>95.61837865</v>
      </c>
      <c r="X26" s="28">
        <v>25.0</v>
      </c>
      <c r="Y26" s="30">
        <f>'Daily Analysis'!F26</f>
        <v>97.21891667</v>
      </c>
      <c r="Z26" s="31">
        <f>'Daily Analysis'!J26</f>
        <v>97.20854912</v>
      </c>
    </row>
    <row r="27" ht="15.75" customHeight="1">
      <c r="A27" s="28">
        <v>26.0</v>
      </c>
      <c r="B27" s="20">
        <f>'Daily Analysis'!D27</f>
        <v>95.18741667</v>
      </c>
      <c r="C27" s="20">
        <f>'Daily Analysis'!F27</f>
        <v>97.09791667</v>
      </c>
      <c r="T27" s="28">
        <v>26.0</v>
      </c>
      <c r="U27" s="30">
        <f>'Daily Analysis'!E27</f>
        <v>95.20232609</v>
      </c>
      <c r="V27" s="31">
        <f>'Daily Analysis'!I27</f>
        <v>95.18820061</v>
      </c>
      <c r="X27" s="28">
        <v>26.0</v>
      </c>
      <c r="Y27" s="30">
        <f>'Daily Analysis'!F27</f>
        <v>97.09791667</v>
      </c>
      <c r="Z27" s="31">
        <f>'Daily Analysis'!J27</f>
        <v>97.06065558</v>
      </c>
    </row>
    <row r="28" ht="15.75" customHeight="1">
      <c r="A28" s="28">
        <v>27.0</v>
      </c>
      <c r="B28" s="20">
        <f>'Daily Analysis'!D28</f>
        <v>94.94966667</v>
      </c>
      <c r="C28" s="20">
        <f>'Daily Analysis'!F28</f>
        <v>97.0015</v>
      </c>
      <c r="T28" s="28">
        <v>27.0</v>
      </c>
      <c r="U28" s="30">
        <f>'Daily Analysis'!E28</f>
        <v>94.9553913</v>
      </c>
      <c r="V28" s="31">
        <f>'Daily Analysis'!I28</f>
        <v>94.95101658</v>
      </c>
      <c r="X28" s="28">
        <v>27.0</v>
      </c>
      <c r="Y28" s="30">
        <f>'Daily Analysis'!F28</f>
        <v>97.0015</v>
      </c>
      <c r="Z28" s="31">
        <f>'Daily Analysis'!J28</f>
        <v>97.0084425</v>
      </c>
    </row>
    <row r="29" ht="15.75" customHeight="1">
      <c r="A29" s="28">
        <v>28.0</v>
      </c>
      <c r="B29" s="20">
        <f>'Daily Analysis'!D29</f>
        <v>95.33125</v>
      </c>
      <c r="C29" s="20">
        <f>'Daily Analysis'!F29</f>
        <v>97.12683333</v>
      </c>
      <c r="T29" s="28">
        <v>28.0</v>
      </c>
      <c r="U29" s="30">
        <f>'Daily Analysis'!E29</f>
        <v>95.34347826</v>
      </c>
      <c r="V29" s="31">
        <f>'Daily Analysis'!I29</f>
        <v>95.35296333</v>
      </c>
      <c r="X29" s="28">
        <v>28.0</v>
      </c>
      <c r="Y29" s="30">
        <f>'Daily Analysis'!F29</f>
        <v>97.12683333</v>
      </c>
      <c r="Z29" s="31">
        <f>'Daily Analysis'!J29</f>
        <v>97.10605819</v>
      </c>
    </row>
    <row r="30" ht="15.75" customHeight="1">
      <c r="A30" s="28">
        <v>29.0</v>
      </c>
      <c r="B30" s="20">
        <f>'Daily Analysis'!D30</f>
        <v>94.85716667</v>
      </c>
      <c r="C30" s="20">
        <f>'Daily Analysis'!F30</f>
        <v>96.99216667</v>
      </c>
      <c r="T30" s="28">
        <v>29.0</v>
      </c>
      <c r="U30" s="30">
        <f>'Daily Analysis'!E30</f>
        <v>94.87093478</v>
      </c>
      <c r="V30" s="31">
        <f>'Daily Analysis'!I30</f>
        <v>94.89271009</v>
      </c>
      <c r="X30" s="28">
        <v>29.0</v>
      </c>
      <c r="Y30" s="30">
        <f>'Daily Analysis'!F30</f>
        <v>96.99216667</v>
      </c>
      <c r="Z30" s="31">
        <f>'Daily Analysis'!J30</f>
        <v>97.00041501</v>
      </c>
    </row>
    <row r="31" ht="15.75" customHeight="1">
      <c r="A31" s="28">
        <v>30.0</v>
      </c>
      <c r="B31" s="20">
        <f>'Daily Analysis'!D31</f>
        <v>95.31875</v>
      </c>
      <c r="C31" s="20">
        <f>'Daily Analysis'!F31</f>
        <v>97.13258333</v>
      </c>
      <c r="T31" s="28">
        <v>30.0</v>
      </c>
      <c r="U31" s="30">
        <f>'Daily Analysis'!E31</f>
        <v>95.3223913</v>
      </c>
      <c r="V31" s="31">
        <f>'Daily Analysis'!I31</f>
        <v>95.304683</v>
      </c>
      <c r="X31" s="28">
        <v>30.0</v>
      </c>
      <c r="Y31" s="30">
        <f>'Daily Analysis'!F31</f>
        <v>97.13258333</v>
      </c>
      <c r="Z31" s="31">
        <f>'Daily Analysis'!J31</f>
        <v>97.11908851</v>
      </c>
    </row>
    <row r="32" ht="15.75" customHeight="1">
      <c r="A32" s="28">
        <v>31.0</v>
      </c>
      <c r="B32" s="20">
        <f>'Daily Analysis'!D32</f>
        <v>95.18675</v>
      </c>
      <c r="C32" s="20">
        <f>'Daily Analysis'!F32</f>
        <v>97.05191667</v>
      </c>
      <c r="T32" s="28">
        <v>31.0</v>
      </c>
      <c r="U32" s="30">
        <f>'Daily Analysis'!E32</f>
        <v>95.19267391</v>
      </c>
      <c r="V32" s="31">
        <f>'Daily Analysis'!I32</f>
        <v>95.19242233</v>
      </c>
      <c r="X32" s="28">
        <v>31.0</v>
      </c>
      <c r="Y32" s="30">
        <f>'Daily Analysis'!F32</f>
        <v>97.05191667</v>
      </c>
      <c r="Z32" s="31">
        <f>'Daily Analysis'!J32</f>
        <v>97.07507065</v>
      </c>
    </row>
    <row r="33" ht="15.75" customHeight="1">
      <c r="A33" s="28">
        <v>32.0</v>
      </c>
      <c r="B33" s="20">
        <f>'Daily Analysis'!D33</f>
        <v>94.95683333</v>
      </c>
      <c r="C33" s="20">
        <f>'Daily Analysis'!F33</f>
        <v>97.02466667</v>
      </c>
      <c r="T33" s="28">
        <v>32.0</v>
      </c>
      <c r="U33" s="30">
        <f>'Daily Analysis'!E33</f>
        <v>94.96697826</v>
      </c>
      <c r="V33" s="31">
        <f>'Daily Analysis'!I33</f>
        <v>94.94508072</v>
      </c>
      <c r="X33" s="28">
        <v>32.0</v>
      </c>
      <c r="Y33" s="30">
        <f>'Daily Analysis'!F33</f>
        <v>97.02466667</v>
      </c>
      <c r="Z33" s="31">
        <f>'Daily Analysis'!J33</f>
        <v>97.01782175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6" width="11.0"/>
    <col customWidth="1" min="17" max="26" width="8.63"/>
  </cols>
  <sheetData>
    <row r="1">
      <c r="A1" s="32" t="s">
        <v>160</v>
      </c>
    </row>
    <row r="3">
      <c r="A3" s="33" t="s">
        <v>161</v>
      </c>
    </row>
    <row r="5">
      <c r="A5" s="34" t="str">
        <f>"Apache Avg Yield"&amp;CHAR(10)&amp;TEXT(AVERAGE('Daily Analysis'!D2:D33),"0.0000""%""")</f>
        <v>Apache Avg Yield
95.2701%</v>
      </c>
      <c r="E5" s="35" t="str">
        <f>"Odyssey Avg Yield"&amp;CHAR(10)&amp;TEXT(AVERAGE('Daily Analysis'!F2:F33),"0.0000""%""")</f>
        <v>Odyssey Avg Yield
97.0993%</v>
      </c>
      <c r="I5" s="36" t="str">
        <f t="array" ref="I5">"Apache Operator Outlier"&amp;CHAR(10)&amp;INDEX('Operator Analysis'!A2:A25,MATCH(MIN('Operator Analysis'!E2:E25),'Operator Analysis'!E2:E25,0))</f>
        <v>Apache Operator Outlier
Barbara</v>
      </c>
      <c r="M5" s="37" t="str">
        <f>"Operator Impact"&amp;CHAR(10)&amp;TEXT(MAX('Operator Analysis'!K2:K25),"$#,##0")</f>
        <v>Operator Impact
$133,502</v>
      </c>
    </row>
    <row r="10">
      <c r="A10" s="38" t="str">
        <f>"Apache Yield Variation Explained"&amp;CHAR(10)&amp;"by Solar + Humidity"&amp;CHAR(10)&amp;TEXT('Assumptions &amp; Model'!B35,"0.0%")</f>
        <v>Apache Yield Variation Explained
by Solar + Humidity
99.5%</v>
      </c>
      <c r="E10" s="39" t="str">
        <f>"Odyssey Yield Variation Explained"&amp;CHAR(10)&amp;"by Solar + Humidity"&amp;CHAR(10)&amp;TEXT('Assumptions &amp; Model'!B36,"0.0%")</f>
        <v>Odyssey Yield Variation Explained
by Solar + Humidity
91.9%</v>
      </c>
      <c r="I10" s="40" t="str">
        <f>"TestPAC Energy Savings"&amp;CHAR(10)&amp;TEXT('Assumptions &amp; Model'!B48,"$#,##0")</f>
        <v>TestPAC Energy Savings
$1,250,000</v>
      </c>
      <c r="M10" s="41" t="str">
        <f>"Scenario Revenue Gap vs Ideal Facility"&amp;CHAR(10)&amp;"(after $1.25M energy savings)"&amp;CHAR(10)&amp;TEXT('Assumptions &amp; Model'!B49,"$#,##0")</f>
        <v>Scenario Revenue Gap vs Ideal Facility
(after $1.25M energy savings)
$8,064,545</v>
      </c>
    </row>
    <row r="14" ht="31.5" customHeight="1">
      <c r="A14" s="42" t="s">
        <v>162</v>
      </c>
      <c r="I14" s="42" t="s">
        <v>163</v>
      </c>
    </row>
    <row r="15">
      <c r="A15" s="43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10:H13"/>
    <mergeCell ref="I10:L13"/>
    <mergeCell ref="A10:D13"/>
    <mergeCell ref="A14:H14"/>
    <mergeCell ref="I14:P14"/>
    <mergeCell ref="A15:P18"/>
    <mergeCell ref="A1:P2"/>
    <mergeCell ref="A3:P3"/>
    <mergeCell ref="A5:D8"/>
    <mergeCell ref="E5:H8"/>
    <mergeCell ref="I5:L8"/>
    <mergeCell ref="M5:P8"/>
    <mergeCell ref="M10:P1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6" width="11.0"/>
    <col customWidth="1" min="17" max="26" width="8.63"/>
  </cols>
  <sheetData>
    <row r="1">
      <c r="A1" s="45" t="s">
        <v>176</v>
      </c>
    </row>
    <row r="3">
      <c r="A3" s="46" t="s">
        <v>177</v>
      </c>
    </row>
    <row r="5">
      <c r="A5" s="34" t="str">
        <f>"Apache: +10 Solar Points"&amp;CHAR(10)&amp;TEXT('Assumptions &amp; Model'!B26*10,"0.000")&amp;" pp"</f>
        <v>Apache: +10 Solar Points
0.084 pp</v>
      </c>
      <c r="E5" s="36" t="str">
        <f>"Apache: +10 Humidity Points"&amp;CHAR(10)&amp;TEXT('Assumptions &amp; Model'!B27*10,"0.000")&amp;" pp"</f>
        <v>Apache: +10 Humidity Points
-0.030 pp</v>
      </c>
      <c r="I5" s="35" t="str">
        <f>"Odyssey: +10 Solar Points"&amp;CHAR(10)&amp;TEXT('Assumptions &amp; Model'!B29*10,"0.000")&amp;" pp"</f>
        <v>Odyssey: +10 Solar Points
0.025 pp</v>
      </c>
      <c r="M5" s="47" t="str">
        <f>"Odyssey: +10 Humidity Points"&amp;CHAR(10)&amp;TEXT('Assumptions &amp; Model'!B30*10,"0.000")&amp;" pp"</f>
        <v>Odyssey: +10 Humidity Points
-0.005 pp</v>
      </c>
    </row>
    <row r="9" ht="30.0" customHeight="1">
      <c r="A9" s="42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48" t="s">
        <v>179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P2"/>
    <mergeCell ref="A3:P3"/>
    <mergeCell ref="A5:D8"/>
    <mergeCell ref="E5:H8"/>
    <mergeCell ref="I5:L8"/>
    <mergeCell ref="M5:P8"/>
    <mergeCell ref="A9:P9"/>
    <mergeCell ref="A46:P49"/>
  </mergeCells>
  <printOptions/>
  <pageMargins bottom="0.75" footer="0.0" header="0.0" left="0.7" right="0.7" top="0.75"/>
  <pageSetup orientation="landscape"/>
  <drawing r:id="rId1"/>
</worksheet>
</file>